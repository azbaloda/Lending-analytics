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zbal\OneDrive\Desktop\Data Science Projects on public platform\Antigravity\"/>
    </mc:Choice>
  </mc:AlternateContent>
  <xr:revisionPtr revIDLastSave="0" documentId="13_ncr:1_{044CB455-0AE5-4889-835C-9741AE6EF13B}" xr6:coauthVersionLast="47" xr6:coauthVersionMax="47" xr10:uidLastSave="{00000000-0000-0000-0000-000000000000}"/>
  <bookViews>
    <workbookView xWindow="-108" yWindow="-108" windowWidth="23256" windowHeight="12456" tabRatio="710" activeTab="4" xr2:uid="{00000000-000D-0000-FFFF-FFFF00000000}"/>
  </bookViews>
  <sheets>
    <sheet name="Requirements" sheetId="1" r:id="rId1"/>
    <sheet name="Basic analytics" sheetId="2" r:id="rId2"/>
    <sheet name="Advanced_analytics" sheetId="5" r:id="rId3"/>
    <sheet name="Basic_analystics_queries" sheetId="3" r:id="rId4"/>
    <sheet name="Advanced_analytics_queri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8" i="2"/>
  <c r="D9" i="2"/>
  <c r="D10" i="2"/>
  <c r="D6" i="2"/>
  <c r="E60" i="2"/>
  <c r="E61" i="2"/>
  <c r="E62" i="2"/>
  <c r="E59" i="2"/>
  <c r="E58" i="2"/>
  <c r="E57" i="2"/>
  <c r="E56" i="2"/>
  <c r="E51" i="2"/>
  <c r="E50" i="2"/>
  <c r="E49" i="2"/>
  <c r="E48" i="2"/>
  <c r="E43" i="2"/>
  <c r="E42" i="2"/>
  <c r="E41" i="2"/>
  <c r="E35" i="2"/>
  <c r="E36" i="2"/>
  <c r="E34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15" i="2"/>
</calcChain>
</file>

<file path=xl/sharedStrings.xml><?xml version="1.0" encoding="utf-8"?>
<sst xmlns="http://schemas.openxmlformats.org/spreadsheetml/2006/main" count="650" uniqueCount="492">
  <si>
    <t xml:space="preserve"> Risk Grade Policy Matrix &amp; Limit Utilization</t>
  </si>
  <si>
    <t xml:space="preserve"> Credit Bureau Decline Analysis &amp; Policy Relaxation Simulation ("What-If" Analysis)</t>
  </si>
  <si>
    <t xml:space="preserve"> Demographics &amp; State-wise Risk Breakdown</t>
  </si>
  <si>
    <t xml:space="preserve"> Repayment Delinquency, DPD Buckets &amp; NPA Default Rates</t>
  </si>
  <si>
    <t>Module 1</t>
  </si>
  <si>
    <t>Module 2</t>
  </si>
  <si>
    <t>Module 3</t>
  </si>
  <si>
    <t>Module 4</t>
  </si>
  <si>
    <t>Module 5</t>
  </si>
  <si>
    <t>ABANDONED</t>
  </si>
  <si>
    <t>DISBURSED</t>
  </si>
  <si>
    <t>KYC_SUBMITTED</t>
  </si>
  <si>
    <t>OFFER_GENERATED</t>
  </si>
  <si>
    <t>REJECTED</t>
  </si>
  <si>
    <t>user count</t>
  </si>
  <si>
    <t>Karnataka</t>
  </si>
  <si>
    <t>Uttar Pradesh</t>
  </si>
  <si>
    <t>Gujarat</t>
  </si>
  <si>
    <t>Telangana</t>
  </si>
  <si>
    <t>Maharashtra</t>
  </si>
  <si>
    <t>Delhi</t>
  </si>
  <si>
    <t>Rajasthan</t>
  </si>
  <si>
    <t>Kerala</t>
  </si>
  <si>
    <t>Haryana</t>
  </si>
  <si>
    <t>West Bengal</t>
  </si>
  <si>
    <t>Tamil Nadu</t>
  </si>
  <si>
    <t>Punjab</t>
  </si>
  <si>
    <t>Madhya Pradesh</t>
  </si>
  <si>
    <t>Bihar</t>
  </si>
  <si>
    <t>Andhra Pradesh</t>
  </si>
  <si>
    <t>State</t>
  </si>
  <si>
    <t>Male</t>
  </si>
  <si>
    <t>Female</t>
  </si>
  <si>
    <t>Other</t>
  </si>
  <si>
    <t>Gender</t>
  </si>
  <si>
    <t>Tier 1</t>
  </si>
  <si>
    <t>Tier 2</t>
  </si>
  <si>
    <t>Tier 3</t>
  </si>
  <si>
    <t>City tier</t>
  </si>
  <si>
    <t>FREELANCER</t>
  </si>
  <si>
    <t>SALARIED</t>
  </si>
  <si>
    <t>SELF_EMPLOYED</t>
  </si>
  <si>
    <t>BUSINESS</t>
  </si>
  <si>
    <t>Employment type</t>
  </si>
  <si>
    <t xml:space="preserve"> potential_approval_amt</t>
  </si>
  <si>
    <t xml:space="preserve"> principal_amt</t>
  </si>
  <si>
    <t>current stage</t>
  </si>
  <si>
    <t>applications cnt</t>
  </si>
  <si>
    <t>disbursed application cnt</t>
  </si>
  <si>
    <t xml:space="preserve">conversion % </t>
  </si>
  <si>
    <t>Monthly income</t>
  </si>
  <si>
    <t>&gt; ₹200K</t>
  </si>
  <si>
    <t>₹0 - ₹25K</t>
  </si>
  <si>
    <t>₹100K - ₹150K</t>
  </si>
  <si>
    <t>₹150K - ₹200K</t>
  </si>
  <si>
    <t>₹25K - ₹50K</t>
  </si>
  <si>
    <t>₹50K - ₹75K</t>
  </si>
  <si>
    <t>₹75K - ₹100K</t>
  </si>
  <si>
    <t>Basic analystics</t>
  </si>
  <si>
    <t>1. Stage-wise</t>
  </si>
  <si>
    <t>3. Gender-wise</t>
  </si>
  <si>
    <t>4. City-tier wise</t>
  </si>
  <si>
    <t>5. Employment wise</t>
  </si>
  <si>
    <t>6. Monthly income wise</t>
  </si>
  <si>
    <t xml:space="preserve">Monthly income </t>
  </si>
  <si>
    <t xml:space="preserve">SELECT </t>
  </si>
  <si>
    <t xml:space="preserve">    CASE </t>
  </si>
  <si>
    <t xml:space="preserve">        WHEN u.monthly_income &lt; 25000 THEN '₹0 - ₹25K'</t>
  </si>
  <si>
    <t xml:space="preserve">        WHEN u.monthly_income BETWEEN 25000 AND 50000 THEN '₹25K - ₹50K'</t>
  </si>
  <si>
    <t xml:space="preserve">        WHEN u.monthly_income BETWEEN 50001 AND 75000 THEN '₹50K - ₹75K'</t>
  </si>
  <si>
    <t xml:space="preserve">        WHEN u.monthly_income BETWEEN 75001 AND 100000 THEN '₹75K - ₹100K'</t>
  </si>
  <si>
    <t xml:space="preserve">        WHEN u.monthly_income BETWEEN 100001 AND 150000 THEN '₹100K - ₹150K'</t>
  </si>
  <si>
    <t xml:space="preserve">        WHEN u.monthly_income BETWEEN 150001 AND 200000 THEN '₹150K - ₹200K'</t>
  </si>
  <si>
    <t xml:space="preserve">        ELSE '&gt; ₹200K'</t>
  </si>
  <si>
    <t xml:space="preserve">    END AS monthly_income_bin,</t>
  </si>
  <si>
    <t xml:space="preserve">    COUNT(DISTINCT l.user_id) AS user_count, </t>
  </si>
  <si>
    <t xml:space="preserve">    COUNT(l.application_id) AS total_applications_count,</t>
  </si>
  <si>
    <t xml:space="preserve">    COUNT(CASE WHEN l.current_stage = 'DISBURSED' THEN l.application_id END) AS disbursed_applications_count,</t>
  </si>
  <si>
    <t xml:space="preserve">    ROUND(SUM(LEAST(l.requested_amount, COALESCE(ur.approval_max_amount, 0))) / 10000000.0, 2) AS potential_approval_amt_cr, </t>
  </si>
  <si>
    <t xml:space="preserve">    ROUND(SUM(l.principal_amount) / 10000000.0, 2) AS principal_disbursed_amt_cr</t>
  </si>
  <si>
    <t>FROM loan_applications l</t>
  </si>
  <si>
    <t>LEFT JOIN underwriting_logs ur ON l.application_id = ur.application_id</t>
  </si>
  <si>
    <t>LEFT JOIN users u ON l.user_id = u.user_id</t>
  </si>
  <si>
    <t>GROUP BY monthly_income_bin;</t>
  </si>
  <si>
    <t xml:space="preserve">   count(distinct l.user_id) as user_count, </t>
  </si>
  <si>
    <t xml:space="preserve">       count(l.application_id) as applications_count,</t>
  </si>
  <si>
    <t xml:space="preserve">       count(case when current_stage ='DISBURSED' then l.application_id else null end) as applications_count,</t>
  </si>
  <si>
    <t xml:space="preserve">       sum(least(l.requested_amount,ur.approval_max_amount)) as potential_approval_amt, </t>
  </si>
  <si>
    <t xml:space="preserve">   sum(l.principal_amount) as principal_amt</t>
  </si>
  <si>
    <t xml:space="preserve">from underwriting_logs ur </t>
  </si>
  <si>
    <t xml:space="preserve">left join loan_applications l </t>
  </si>
  <si>
    <t>on ur.application_id = l.application_id</t>
  </si>
  <si>
    <t xml:space="preserve">left join users u </t>
  </si>
  <si>
    <t>on l.user_id = u.user_id</t>
  </si>
  <si>
    <t>requested_amt</t>
  </si>
  <si>
    <t>stage_percentage</t>
  </si>
  <si>
    <t>WITH funnel_summary AS (</t>
  </si>
  <si>
    <t xml:space="preserve">    SELECT </t>
  </si>
  <si>
    <t xml:space="preserve">        current_stage,</t>
  </si>
  <si>
    <t xml:space="preserve">        COUNT(application_id) AS total_applications,</t>
  </si>
  <si>
    <t xml:space="preserve">        SUM(requested_amount) AS total_requested_amount,</t>
  </si>
  <si>
    <t xml:space="preserve">        SUM(principal_amount) AS total_principal_disbursed,</t>
  </si>
  <si>
    <t xml:space="preserve">        SUM(processing_fee) AS total_processing_fee</t>
  </si>
  <si>
    <t xml:space="preserve">    FROM loan_applications</t>
  </si>
  <si>
    <t xml:space="preserve">    GROUP BY current_stage</t>
  </si>
  <si>
    <t>),</t>
  </si>
  <si>
    <t>overall AS (</t>
  </si>
  <si>
    <t xml:space="preserve">    SELECT COUNT(*) AS total_apps FROM loan_applications</t>
  </si>
  <si>
    <t>)</t>
  </si>
  <si>
    <t xml:space="preserve">    f.current_stage AS funnel_stage,</t>
  </si>
  <si>
    <t xml:space="preserve">    f.user_count,</t>
  </si>
  <si>
    <t xml:space="preserve">    f.total_applications,</t>
  </si>
  <si>
    <t xml:space="preserve">    ROUND(f.total_applications * 100.0 / o.total_apps, 2) AS stage_percentage,</t>
  </si>
  <si>
    <t xml:space="preserve">    ROUND(f.total_requested_amount / 10000000.0, 2) AS total_requested_value_cr,</t>
  </si>
  <si>
    <t xml:space="preserve">    ROUND(f.total_principal_disbursed / 10000000.0, 2) AS actual_disbursed_principal_cr</t>
  </si>
  <si>
    <t>FROM funnel_summary f</t>
  </si>
  <si>
    <t>CROSS JOIN overall o;</t>
  </si>
  <si>
    <t xml:space="preserve">         COUNT(distinct user_id) as user_count, </t>
  </si>
  <si>
    <t xml:space="preserve">select u.state_name, </t>
  </si>
  <si>
    <t>group by u.state_name;</t>
  </si>
  <si>
    <t>State-wise</t>
  </si>
  <si>
    <t>[ In a similar way we can write for gender-wise, city-tier wise, employment wise]</t>
  </si>
  <si>
    <t>2. State-wise</t>
  </si>
  <si>
    <t>Stage-wise [Funnel-conversion]</t>
  </si>
  <si>
    <t>Re-engaged Borrowers (Abandonment Recovery Analysis)</t>
  </si>
  <si>
    <t>WITH user_app_history AS (</t>
  </si>
  <si>
    <t xml:space="preserve">        a1.user_id,</t>
  </si>
  <si>
    <t xml:space="preserve">        a1.application_id AS first_abandoned_app,</t>
  </si>
  <si>
    <t xml:space="preserve">        a1.current_stage AS first_stage,</t>
  </si>
  <si>
    <t xml:space="preserve">        a1.created_at AS first_app_date,</t>
  </si>
  <si>
    <t xml:space="preserve">        a2.application_id AS second_disbursed_app,</t>
  </si>
  <si>
    <t xml:space="preserve">        a2.principal_amount AS recovered_principal_amt,</t>
  </si>
  <si>
    <t xml:space="preserve">        a2.created_at AS second_app_date,</t>
  </si>
  <si>
    <t xml:space="preserve">        TIMESTAMPDIFF(DAY, a1.created_at, a2.created_at) AS days_to_reengage</t>
  </si>
  <si>
    <t xml:space="preserve">    FROM loan_applications a1</t>
  </si>
  <si>
    <t xml:space="preserve">    JOIN loan_applications a2 ON a1.user_id = a2.user_id</t>
  </si>
  <si>
    <t xml:space="preserve">    WHERE a1.current_stage = 'ABANDONED'</t>
  </si>
  <si>
    <t xml:space="preserve">      AND a2.current_stage = 'DISBURSED'</t>
  </si>
  <si>
    <t xml:space="preserve">      AND a2.created_at &gt; a1.created_at</t>
  </si>
  <si>
    <t xml:space="preserve">    COUNT(DISTINCT user_id) AS total_reengaged_users,</t>
  </si>
  <si>
    <t xml:space="preserve">    ROUND(SUM(recovered_principal_amt) / 10000000.0, 2) AS recovered_disbursal_volume_cr,</t>
  </si>
  <si>
    <t xml:space="preserve">    ROUND(AVG(days_to_reengage), 1) AS avg_days_to_reengage</t>
  </si>
  <si>
    <t>FROM user_app_history;</t>
  </si>
  <si>
    <t>avg_days_to_reengage</t>
  </si>
  <si>
    <t>recovered_disbursal_volume_cr</t>
  </si>
  <si>
    <t>total_reengaged_users</t>
  </si>
  <si>
    <t>Risk Grade Portfolio Yield &amp; Processing Fee Revenue</t>
  </si>
  <si>
    <t>WITH grade_metrics AS (</t>
  </si>
  <si>
    <t xml:space="preserve">        uw.risk_grade,</t>
  </si>
  <si>
    <t xml:space="preserve">        COUNT(a.application_id) AS total_applications,</t>
  </si>
  <si>
    <t xml:space="preserve">        COUNT(CASE WHEN a.current_stage = 'DISBURSED' THEN a.application_id END) AS disbursed_applications,</t>
  </si>
  <si>
    <t xml:space="preserve">        SUM(a.principal_amount) AS total_principal_disbursed,</t>
  </si>
  <si>
    <t xml:space="preserve">        SUM(a.processing_fee) AS total_processing_fee,</t>
  </si>
  <si>
    <t xml:space="preserve">        AVG(CASE WHEN a.current_stage = 'DISBURSED' THEN a.yearly_interest_rate_pct END) AS avg_interest_rate</t>
  </si>
  <si>
    <t xml:space="preserve">    FROM underwriting_logs uw</t>
  </si>
  <si>
    <t xml:space="preserve">    JOIN loan_applications a ON uw.application_id = a.application_id</t>
  </si>
  <si>
    <t xml:space="preserve">    GROUP BY uw.risk_grade</t>
  </si>
  <si>
    <t xml:space="preserve">    risk_grade,</t>
  </si>
  <si>
    <t xml:space="preserve">    total_applications,</t>
  </si>
  <si>
    <t xml:space="preserve">    disbursed_applications,</t>
  </si>
  <si>
    <t xml:space="preserve">    ROUND(disbursed_applications * 100.0 / total_applications, 2) AS approval_conversion_pct,</t>
  </si>
  <si>
    <t xml:space="preserve">    ROUND(total_principal_disbursed / 10000000.0, 2) AS disbursed_principal_cr,</t>
  </si>
  <si>
    <t xml:space="preserve">    ROUND(total_processing_fee / 100000.0, 2) AS processing_fee_income_lakhs,</t>
  </si>
  <si>
    <t xml:space="preserve">    ROUND(avg_interest_rate, 2) AS avg_yearly_interest_rate_pct</t>
  </si>
  <si>
    <t>FROM grade_metrics</t>
  </si>
  <si>
    <t xml:space="preserve">ORDER BY </t>
  </si>
  <si>
    <t xml:space="preserve">    CASE risk_grade</t>
  </si>
  <si>
    <t xml:space="preserve">        WHEN 'A+' THEN 1</t>
  </si>
  <si>
    <t xml:space="preserve">        WHEN 'A' THEN 2</t>
  </si>
  <si>
    <t xml:space="preserve">        WHEN 'B' THEN 3</t>
  </si>
  <si>
    <t xml:space="preserve">        WHEN 'C' THEN 4</t>
  </si>
  <si>
    <t xml:space="preserve">        ELSE 5</t>
  </si>
  <si>
    <t xml:space="preserve">    END;</t>
  </si>
  <si>
    <t>A+</t>
  </si>
  <si>
    <t>A</t>
  </si>
  <si>
    <t>B</t>
  </si>
  <si>
    <t>C</t>
  </si>
  <si>
    <t>risk_grade</t>
  </si>
  <si>
    <t xml:space="preserve"> total_applications</t>
  </si>
  <si>
    <t xml:space="preserve"> disbursed_applications</t>
  </si>
  <si>
    <t xml:space="preserve"> approval_conversion_pct</t>
  </si>
  <si>
    <t xml:space="preserve"> disbursed_principal_cr</t>
  </si>
  <si>
    <t xml:space="preserve"> processing_fee_income_lakhs</t>
  </si>
  <si>
    <t xml:space="preserve"> avg_yearly_interest_rate_pct</t>
  </si>
  <si>
    <t>1. Re-engaged Borrowers (Abandonment Recovery Analysis)</t>
  </si>
  <si>
    <t>2. Risk Grade Portfolio Yield &amp; Processing Fee Revenue</t>
  </si>
  <si>
    <t>Sanction Limit Utilization (Requested vs Approved Max Limit)</t>
  </si>
  <si>
    <t xml:space="preserve">    -- Limit Utilization Ratio = Disbursed Principal / Approved Max Limit</t>
  </si>
  <si>
    <t>FROM loan_applications a</t>
  </si>
  <si>
    <t>JOIN underwriting_logs uw ON a.application_id = uw.application_id</t>
  </si>
  <si>
    <t>WHERE a.current_stage = 'DISBURSED'</t>
  </si>
  <si>
    <t>GROUP BY uw.risk_grade</t>
  </si>
  <si>
    <t>ORDER BY limit_utilization_pct DESC;</t>
  </si>
  <si>
    <t xml:space="preserve"> total_disbursed_loans</t>
  </si>
  <si>
    <t xml:space="preserve"> total_requested_amt_cr</t>
  </si>
  <si>
    <t xml:space="preserve"> total_approved_max_limit_cr</t>
  </si>
  <si>
    <t xml:space="preserve"> actual_principal_disbursed_cr</t>
  </si>
  <si>
    <t xml:space="preserve"> limit_utilization_pct</t>
  </si>
  <si>
    <t>3. Sanction Limit Utilization (Requested vs Approved Max Limit)</t>
  </si>
  <si>
    <t>Credit Bureau Rejection Reason Breakdown</t>
  </si>
  <si>
    <t>FROM underwriting_logs</t>
  </si>
  <si>
    <t>WHERE risk_grade = 'REJECTED'</t>
  </si>
  <si>
    <t>GROUP BY rejection_reason</t>
  </si>
  <si>
    <t>ORDER BY total_rejections DESC;</t>
  </si>
  <si>
    <t>POLICY_VIOLATION_CIBIL_LOW</t>
  </si>
  <si>
    <t>POLICY_VIOLATION_DPD_HIGH</t>
  </si>
  <si>
    <t>POLICY_VIOLATION_SUIT_FILED</t>
  </si>
  <si>
    <t>POLICY_VIOLATION_BAL_HIGH</t>
  </si>
  <si>
    <t>POLICY_VIOLATION_OVERDUE_HIGH</t>
  </si>
  <si>
    <t>POLICY_VIOLATION_ACTIVE_PL_HIGH</t>
  </si>
  <si>
    <t>POLICY_VIOLATION_PL_COUNT_LOW</t>
  </si>
  <si>
    <t>rejection_reason</t>
  </si>
  <si>
    <t xml:space="preserve"> total_rejections</t>
  </si>
  <si>
    <t xml:space="preserve"> pct_of_total_rejections</t>
  </si>
  <si>
    <t xml:space="preserve"> avg_bureau_cibil_score</t>
  </si>
  <si>
    <t xml:space="preserve"> avg_overdue_amount_inr</t>
  </si>
  <si>
    <t xml:space="preserve"> avg_active_pl_balance_lakhs</t>
  </si>
  <si>
    <t>4. Credit Bureau Rejection Reason Breakdown</t>
  </si>
  <si>
    <t>"What-If" Credit Policy Relaxation Simulation</t>
  </si>
  <si>
    <t>WITH current_portfolio AS (</t>
  </si>
  <si>
    <t xml:space="preserve">        SUM(a.principal_amount) AS current_disbursed_principal</t>
  </si>
  <si>
    <t xml:space="preserve">    FROM loan_applications a</t>
  </si>
  <si>
    <t>policy_simulation AS (</t>
  </si>
  <si>
    <t xml:space="preserve">        CASE </t>
  </si>
  <si>
    <t xml:space="preserve">            WHEN uw.risk_grade = 'REJECTED' </t>
  </si>
  <si>
    <t xml:space="preserve">                 AND uw.bureau_cibil_score BETWEEN 520 AND 550</t>
  </si>
  <si>
    <t xml:space="preserve">                 AND uw.total_overdue_amount_bureau = 0</t>
  </si>
  <si>
    <t xml:space="preserve">                 AND uw.max_dpd_pl_bureau_5yrs &lt;= 10</t>
  </si>
  <si>
    <t xml:space="preserve">                 AND u.monthly_income &gt;= 50000</t>
  </si>
  <si>
    <t xml:space="preserve">            THEN 1 ELSE 0 </t>
  </si>
  <si>
    <t xml:space="preserve">            ELSE 0.0</t>
  </si>
  <si>
    <t xml:space="preserve">        END AS simulated_additional_principal</t>
  </si>
  <si>
    <t xml:space="preserve">    JOIN users u ON a.user_id = u.user_id</t>
  </si>
  <si>
    <t xml:space="preserve">    JOIN underwriting_logs uw ON a.application_id = uw.application_id</t>
  </si>
  <si>
    <t>FROM policy_simulation ps</t>
  </si>
  <si>
    <t>CROSS JOIN current_portfolio cp</t>
  </si>
  <si>
    <t>-- Simulation Scenario: Re-evaluate REJECTED applicants with CIBIL 520-550, 0 overdue, and Income &gt;= 50k</t>
  </si>
  <si>
    <t xml:space="preserve">        END AS is_eligible_under_relaxed_policy,</t>
  </si>
  <si>
    <t>total_apps</t>
  </si>
  <si>
    <t xml:space="preserve"> current_disbursed_apps</t>
  </si>
  <si>
    <t xml:space="preserve"> current_disbursed_cr</t>
  </si>
  <si>
    <t xml:space="preserve"> newly_approved_applicants</t>
  </si>
  <si>
    <t xml:space="preserve"> incremental_disbursal_unlocked_cr</t>
  </si>
  <si>
    <t xml:space="preserve"> projected_new_disbursed_cr</t>
  </si>
  <si>
    <t>5. "What-If" Credit Policy Relaxation Simulation</t>
  </si>
  <si>
    <t> 6. Top 10 Indian States by Disbursal Volume &amp; Average CIBIL</t>
  </si>
  <si>
    <t>Top 10 Indian States by Disbursal Volume &amp; Average CIBIL</t>
  </si>
  <si>
    <t>FROM users u</t>
  </si>
  <si>
    <t>JOIN loan_applications a ON u.user_id = a.user_id</t>
  </si>
  <si>
    <t>GROUP BY u.state_name</t>
  </si>
  <si>
    <t>ORDER BY total_disbursed_principal_cr DESC</t>
  </si>
  <si>
    <t>LIMIT 10;</t>
  </si>
  <si>
    <t>state_name</t>
  </si>
  <si>
    <t xml:space="preserve"> total_borrowers</t>
  </si>
  <si>
    <t xml:space="preserve"> approval_rate_pct</t>
  </si>
  <si>
    <t xml:space="preserve"> total_disbursed_principal_cr</t>
  </si>
  <si>
    <t xml:space="preserve"> total_processing_fee_lakhs</t>
  </si>
  <si>
    <t xml:space="preserve"> avg_cibil_score</t>
  </si>
  <si>
    <t>7. Monthly Income Bins vs Disbursal Volume &amp; Approval Rate</t>
  </si>
  <si>
    <t>1. Low Income (&lt; ₹25K)</t>
  </si>
  <si>
    <t>2. Lower Middle (₹25K - ₹50K)</t>
  </si>
  <si>
    <t>3. Middle Income (₹50K - ₹75K)</t>
  </si>
  <si>
    <t>4. Upper Middle (₹75K - ₹100K)</t>
  </si>
  <si>
    <t>5. High Income (₹100K - ₹150K)</t>
  </si>
  <si>
    <t>6. Top Tier (&gt; ₹150K)</t>
  </si>
  <si>
    <t>monthly_income_bin</t>
  </si>
  <si>
    <t xml:space="preserve"> user_count</t>
  </si>
  <si>
    <t xml:space="preserve"> principal_disbursed_amt_cr</t>
  </si>
  <si>
    <t xml:space="preserve"> total_applications_cnt</t>
  </si>
  <si>
    <t xml:space="preserve"> disbursed_applications_cnt</t>
  </si>
  <si>
    <t>8. DPD Delinquency Matrix &amp; Overdue Balance Distribution</t>
  </si>
  <si>
    <t>ON_TIME</t>
  </si>
  <si>
    <t>dpd_1_to_7</t>
  </si>
  <si>
    <t>dpd_8_to_15</t>
  </si>
  <si>
    <t>dpd_15_to_30</t>
  </si>
  <si>
    <t>dpd_30_to_60</t>
  </si>
  <si>
    <t>dpd_60_to_90</t>
  </si>
  <si>
    <t>dpd_90_to_120</t>
  </si>
  <si>
    <t>dpd_120_to_150</t>
  </si>
  <si>
    <t>dpd_150_to_180</t>
  </si>
  <si>
    <t>dpd_more_than_180</t>
  </si>
  <si>
    <t>dpd_bucket</t>
  </si>
  <si>
    <t xml:space="preserve"> total_installments</t>
  </si>
  <si>
    <t xml:space="preserve"> pct_of_installments</t>
  </si>
  <si>
    <t xml:space="preserve"> total_due_amount_lakhs</t>
  </si>
  <si>
    <t xml:space="preserve"> total_paid_amount_lakhs</t>
  </si>
  <si>
    <t xml:space="preserve"> total_outstanding_overdue_lakhs</t>
  </si>
  <si>
    <t>9. Non-Performing Assets (NPA / 90+ DPD) Default Loss Rate by Risk Grade</t>
  </si>
  <si>
    <t xml:space="preserve"> total_principal_cr</t>
  </si>
  <si>
    <t xml:space="preserve"> npa_default_loss_lakhs</t>
  </si>
  <si>
    <t xml:space="preserve"> npa_default_rate_pct</t>
  </si>
  <si>
    <t>Monthly Income Bins vs Disbursal Volume &amp; Approval Rate</t>
  </si>
  <si>
    <t xml:space="preserve">        WHEN u.monthly_income &lt; 25000 THEN '1. Low Income (&lt; ₹25K)'</t>
  </si>
  <si>
    <t xml:space="preserve">        WHEN u.monthly_income BETWEEN 25000 AND 50000 THEN '2. Lower Middle (₹25K - ₹50K)'</t>
  </si>
  <si>
    <t xml:space="preserve">        WHEN u.monthly_income BETWEEN 50001 AND 75000 THEN '3. Middle Income (₹50K - ₹75K)'</t>
  </si>
  <si>
    <t xml:space="preserve">        WHEN u.monthly_income BETWEEN 75001 AND 100000 THEN '4. Upper Middle (₹75K - ₹100K)'</t>
  </si>
  <si>
    <t xml:space="preserve">        WHEN u.monthly_income BETWEEN 100001 AND 150000 THEN '5. High Income (₹100K - ₹150K)'</t>
  </si>
  <si>
    <t xml:space="preserve">        ELSE '6. Top Tier (&gt; ₹150K)'</t>
  </si>
  <si>
    <t xml:space="preserve">    ROUND(COUNT(CASE WHEN l.current_stage = 'DISBURSED' THEN l.application_id END) * 100.0 / COUNT(l.application_id), 2) AS approval_rate_pct,</t>
  </si>
  <si>
    <t xml:space="preserve">    ROUND(SUM(l.principal_amount) / 10000000.0, 2) AS principal_disbursed_amt_cr,</t>
  </si>
  <si>
    <t xml:space="preserve">    ROUND(SUM(l.processing_fee) / 100000.0, 2) AS processing_fee_income_lakhs</t>
  </si>
  <si>
    <t>GROUP BY monthly_income_bin</t>
  </si>
  <si>
    <t>ORDER BY MIN(u.monthly_income) ASC;</t>
  </si>
  <si>
    <t xml:space="preserve">    u.state_name,</t>
  </si>
  <si>
    <t xml:space="preserve">    COUNT(DISTINCT u.user_id) AS total_borrowers,</t>
  </si>
  <si>
    <t xml:space="preserve">    COUNT(a.application_id) AS total_applications,</t>
  </si>
  <si>
    <t xml:space="preserve">    COUNT(CASE WHEN a.current_stage = 'DISBURSED' THEN a.application_id END) AS disbursed_apps,</t>
  </si>
  <si>
    <t xml:space="preserve">    ROUND(SUM(a.processing_fee) / 100000.0 ,2) AS total_processing_fee_lakhs,</t>
  </si>
  <si>
    <t xml:space="preserve">    ROUND(SUM(a.principal_amount) / 10000000.0, 2) AS total_disbursed_principal_cr,</t>
  </si>
  <si>
    <t xml:space="preserve">    ROUND(AVG(u.existing_cibil_score) ,1) AS avg_cibil_score</t>
  </si>
  <si>
    <t>DPD Delinquency Matrix &amp; Overdue Balance Distribution</t>
  </si>
  <si>
    <t xml:space="preserve">    dpd_bucket,</t>
  </si>
  <si>
    <t xml:space="preserve">    COUNT(*) AS total_installments,</t>
  </si>
  <si>
    <t xml:space="preserve">    ROUND(COUNT(*) * 100.0 / (SELECT COUNT(*) FROM repayments), 2) AS pct_of_installments,</t>
  </si>
  <si>
    <t xml:space="preserve">    ROUND(SUM(due_amount) / 100000.0, 2) AS total_due_amount_lakhs,</t>
  </si>
  <si>
    <t xml:space="preserve">    ROUND(SUM(paid_amount) / 100000.0, 2) AS total_paid_amount_lakhs,</t>
  </si>
  <si>
    <t xml:space="preserve">    ROUND(SUM(due_amount - paid_amount) / 100000.0, 2) AS total_outstanding_overdue_lakhs</t>
  </si>
  <si>
    <t>FROM repayments</t>
  </si>
  <si>
    <t>GROUP BY dpd_bucket</t>
  </si>
  <si>
    <t xml:space="preserve">    CASE dpd_bucket</t>
  </si>
  <si>
    <t xml:space="preserve">        WHEN 'ON_TIME' THEN 1</t>
  </si>
  <si>
    <t xml:space="preserve">        WHEN 'dpd_1_to_7' THEN 2</t>
  </si>
  <si>
    <t xml:space="preserve">        WHEN 'dpd_8_to_15' THEN 3</t>
  </si>
  <si>
    <t xml:space="preserve">        WHEN 'dpd_15_to_30' THEN 4</t>
  </si>
  <si>
    <t xml:space="preserve">        WHEN 'dpd_30_to_60' THEN 5</t>
  </si>
  <si>
    <t xml:space="preserve">        WHEN 'dpd_60_to_90' THEN 6</t>
  </si>
  <si>
    <t xml:space="preserve">        WHEN 'dpd_90_to_120' THEN 7</t>
  </si>
  <si>
    <t xml:space="preserve">        WHEN 'dpd_120_to_150' THEN 8</t>
  </si>
  <si>
    <t xml:space="preserve">        WHEN 'dpd_150_to_180' THEN 9</t>
  </si>
  <si>
    <t xml:space="preserve">        ELSE 10</t>
  </si>
  <si>
    <t>Non-Performing Assets (NPA / 90+ DPD) Default Loss Rate by Risk Grade</t>
  </si>
  <si>
    <t>WITH loan_defaults AS (</t>
  </si>
  <si>
    <t xml:space="preserve">        a.application_id,</t>
  </si>
  <si>
    <t xml:space="preserve">        a.principal_amount,</t>
  </si>
  <si>
    <t xml:space="preserve">        SUM(CASE WHEN r.dpd &gt; 90 THEN (r.due_amount - r.paid_amount) ELSE 0 END) AS npa_default_amount</t>
  </si>
  <si>
    <t xml:space="preserve">    JOIN repayments r ON a.application_id = r.application_id</t>
  </si>
  <si>
    <t xml:space="preserve">    WHERE a.current_stage = 'DISBURSED'</t>
  </si>
  <si>
    <t xml:space="preserve">    GROUP BY a.application_id, uw.risk_grade, a.principal_amount</t>
  </si>
  <si>
    <t xml:space="preserve">    COUNT(application_id) AS total_disbursed_loans,</t>
  </si>
  <si>
    <t xml:space="preserve">    ROUND(SUM(principal_amount) / 10000000.0, 2) AS total_principal_cr,</t>
  </si>
  <si>
    <t xml:space="preserve">    ROUND(SUM(npa_default_amount) / 100000.0, 2) AS npa_default_loss_lakhs,</t>
  </si>
  <si>
    <t xml:space="preserve">    -- NPA Default Rate % = (Default Loss / Total Disbursed Principal) * 100</t>
  </si>
  <si>
    <t xml:space="preserve">    ROUND(SUM(npa_default_amount) * 100.0 / SUM(principal_amount), 2) AS npa_default_rate_pct</t>
  </si>
  <si>
    <t>FROM loan_defaults</t>
  </si>
  <si>
    <t>GROUP BY risk_grade</t>
  </si>
  <si>
    <t>ORDER BY npa_default_rate_pct ASC;</t>
  </si>
  <si>
    <t xml:space="preserve">        COUNT(a.application_id) AS total_apps,</t>
  </si>
  <si>
    <t xml:space="preserve">        SUM(CASE WHEN a.current_stage = 'DISBURSED' THEN 1 ELSE 0 END) AS current_disbursed_apps,</t>
  </si>
  <si>
    <t xml:space="preserve">    cp.total_apps,</t>
  </si>
  <si>
    <t xml:space="preserve">    cp.current_disbursed_apps,</t>
  </si>
  <si>
    <t xml:space="preserve">    ROUND(cp.current_disbursed_principal / 10000000.0, 2) AS current_disbursed_cr,</t>
  </si>
  <si>
    <t xml:space="preserve">    SUM(ps.is_eligible_under_relaxed_policy)  AS newly_approved_applicants,</t>
  </si>
  <si>
    <t xml:space="preserve">    ROUND(SUM(ps.simulated_additional_principal) / 10000000.0, 2) AS incremental_disbursal_unlocked_cr,</t>
  </si>
  <si>
    <t xml:space="preserve">    ROUND((cp.current_disbursed_principal + SUM(ps.simulated_additional_principal)) / 10000000.0, 2) AS projected_new_disbursed_cr</t>
  </si>
  <si>
    <t>GROUP BY cp.total_apps,  cp.current_disbursed_apps,  cp.current_disbursed_principal;</t>
  </si>
  <si>
    <t xml:space="preserve">    rejection_reason,</t>
  </si>
  <si>
    <t xml:space="preserve">    COUNT(*) AS total_rejections,</t>
  </si>
  <si>
    <t xml:space="preserve">    ROUND(COUNT(*) * 100.0 / (SELECT COUNT(*) FROM underwriting_logs WHERE risk_grade = 'REJECTED'), 2) AS pct_of_total_rejections,</t>
  </si>
  <si>
    <t xml:space="preserve">    ROUND(AVG(bureau_cibil_score), 1) AS avg_bureau_cibil_score,</t>
  </si>
  <si>
    <t xml:space="preserve">    ROUND(AVG(total_overdue_amount_bureau), 2) AS avg_overdue_amount_inr,</t>
  </si>
  <si>
    <t xml:space="preserve">    ROUND(AVG(total_current_balance_pl_bureau) / 100000.0, 2) AS avg_active_pl_balance_lakhs</t>
  </si>
  <si>
    <t xml:space="preserve">    ROUND(SUM(a.requested_amount) / 10000000.0, 2) AS total_requested_amt_cr,</t>
  </si>
  <si>
    <t xml:space="preserve">    ROUND(SUM(uw.approval_max_amount) / 10000000.0, 2) AS total_approved_max_limit_cr,</t>
  </si>
  <si>
    <t xml:space="preserve">    ROUND(SUM(a.principal_amount) / 10000000.0, 2) AS actual_principal_disbursed_cr,</t>
  </si>
  <si>
    <t xml:space="preserve">    ROUND(SUM(a.principal_amount) * 100.0 / SUM(uw.approval_max_amount), 2) AS limit_utilization_pct</t>
  </si>
  <si>
    <t xml:space="preserve">    uw.risk_grade,</t>
  </si>
  <si>
    <t xml:space="preserve">    COUNT(a.application_id) AS total_disbursed_loans,</t>
  </si>
  <si>
    <t>Delinquency Escalation Velocity &amp; Early Warning Alert System</t>
  </si>
  <si>
    <t>WITH repayment_transitions AS (</t>
  </si>
  <si>
    <t xml:space="preserve">    FROM repayments r</t>
  </si>
  <si>
    <t>escalated_accounts AS (</t>
  </si>
  <si>
    <t xml:space="preserve">        (dpd - prev_installment_dpd) AS dpd_jump</t>
  </si>
  <si>
    <t xml:space="preserve">    FROM repayment_transitions</t>
  </si>
  <si>
    <t xml:space="preserve">    DENSE_RANK() OVER (ORDER BY COUNT(DISTINCT e.application_id) DESC) AS risk_rank</t>
  </si>
  <si>
    <t>FROM escalated_accounts e</t>
  </si>
  <si>
    <t>JOIN loan_applications a ON e.application_id = a.application_id</t>
  </si>
  <si>
    <t>JOIN users u ON a.user_id = u.user_id</t>
  </si>
  <si>
    <t>HAVING total_escalated_accounts &gt;= 3</t>
  </si>
  <si>
    <t>ORDER BY risk_rank ASC</t>
  </si>
  <si>
    <t>LIMIT 15;</t>
  </si>
  <si>
    <t xml:space="preserve">        r.application_id,</t>
  </si>
  <si>
    <t xml:space="preserve">        r.installment_num,</t>
  </si>
  <si>
    <t xml:space="preserve">        r.dpd_bucket,</t>
  </si>
  <si>
    <t xml:space="preserve">        r.dpd,</t>
  </si>
  <si>
    <t xml:space="preserve">        LAG(r.dpd_bucket, 1) OVER (PARTITION BY r.application_id ORDER BY r.installment_num) AS prev_installment_bucket,</t>
  </si>
  <si>
    <t xml:space="preserve">        LAG(r.dpd, 1) OVER (PARTITION BY r.application_id ORDER BY r.installment_num) AS prev_installment_dpd</t>
  </si>
  <si>
    <t xml:space="preserve">        application_id,</t>
  </si>
  <si>
    <t xml:space="preserve">        installment_num,</t>
  </si>
  <si>
    <t xml:space="preserve">        prev_installment_bucket,</t>
  </si>
  <si>
    <t xml:space="preserve">        dpd_bucket AS current_escalated_bucket,</t>
  </si>
  <si>
    <t xml:space="preserve">    WHERE prev_installment_dpd &lt;= 7   AND dpd &gt;= 30</t>
  </si>
  <si>
    <t xml:space="preserve">    u.profession,</t>
  </si>
  <si>
    <t xml:space="preserve">    COUNT(DISTINCT e.application_id) AS total_escalated_accounts,</t>
  </si>
  <si>
    <t xml:space="preserve">    ROUND(AVG(e.dpd_jump), 1) AS avg_dpd_jump_days,</t>
  </si>
  <si>
    <t>GROUP BY u.state_name,  u.profession</t>
  </si>
  <si>
    <t>10. Delinquency Escalation Velocity &amp; Early Warning Alert System</t>
  </si>
  <si>
    <t>Delivery/Logistics Executive</t>
  </si>
  <si>
    <t>Sales Executive</t>
  </si>
  <si>
    <t>Healthcare Professional</t>
  </si>
  <si>
    <t>Small Business Owner</t>
  </si>
  <si>
    <t>Software Engineer</t>
  </si>
  <si>
    <t>Civil Engineer</t>
  </si>
  <si>
    <t>Government Employee</t>
  </si>
  <si>
    <t>Bank Employee</t>
  </si>
  <si>
    <t>Marketing Specialist</t>
  </si>
  <si>
    <t>Retail Manager</t>
  </si>
  <si>
    <t xml:space="preserve"> profession</t>
  </si>
  <si>
    <t xml:space="preserve"> total_escalated_accounts</t>
  </si>
  <si>
    <t xml:space="preserve"> avg_dpd_jump_days</t>
  </si>
  <si>
    <t xml:space="preserve"> risk_rank</t>
  </si>
  <si>
    <t>RFM (Recency, Frequency, Monetary) Customer Segmentation</t>
  </si>
  <si>
    <t>WITH user_behavior AS (</t>
  </si>
  <si>
    <t xml:space="preserve">        SUM(CASE WHEN a.current_stage = 'DISBURSED' THEN a.principal_amount ELSE 0 END) AS total_monetary_val</t>
  </si>
  <si>
    <t xml:space="preserve">    FROM users u</t>
  </si>
  <si>
    <t xml:space="preserve">    JOIN loan_applications a ON u.user_id = a.user_id</t>
  </si>
  <si>
    <t xml:space="preserve">    GROUP BY u.user_id</t>
  </si>
  <si>
    <t>rfm_scores AS (</t>
  </si>
  <si>
    <t xml:space="preserve">      -- Lower recency days = Score 5</t>
  </si>
  <si>
    <t xml:space="preserve">   -- Higher app count = Score 5</t>
  </si>
  <si>
    <t xml:space="preserve">    FROM user_behavior</t>
  </si>
  <si>
    <t xml:space="preserve"> f_score</t>
  </si>
  <si>
    <t xml:space="preserve"> m_score</t>
  </si>
  <si>
    <t xml:space="preserve">        WHEN (r_score + f_score + m_score) &gt;= 13 THEN 'VIP / High Value Champion'</t>
  </si>
  <si>
    <t xml:space="preserve">        WHEN (r_score + f_score + m_score) BETWEEN 10 AND 12 THEN 'Loyal Core Borrower'</t>
  </si>
  <si>
    <t xml:space="preserve">        WHEN (r_score + f_score + m_score) BETWEEN 7 AND 9 THEN 'At-Risk / Needs Re-engagement'</t>
  </si>
  <si>
    <t xml:space="preserve">        ELSE 'Low Engagement / Churned'</t>
  </si>
  <si>
    <t xml:space="preserve">    END AS customer_persona</t>
  </si>
  <si>
    <t>FROM rfm_scores</t>
  </si>
  <si>
    <t>ORDER BY total_rfm_score DESC</t>
  </si>
  <si>
    <t xml:space="preserve"> total_monetary_val DESC</t>
  </si>
  <si>
    <t>LIMIT 20;</t>
  </si>
  <si>
    <t xml:space="preserve">        u.user_id,</t>
  </si>
  <si>
    <t xml:space="preserve">        DATEDIFF('2025-12-31',MAX(a.created_at)) AS recency_days,</t>
  </si>
  <si>
    <t xml:space="preserve">        user_id,</t>
  </si>
  <si>
    <t xml:space="preserve">        recency_days,</t>
  </si>
  <si>
    <t xml:space="preserve">        frequency_apps,</t>
  </si>
  <si>
    <t xml:space="preserve">        total_monetary_val,</t>
  </si>
  <si>
    <t xml:space="preserve">        NTILE(5) OVER (ORDER BY recency_days ASC) AS r_score,</t>
  </si>
  <si>
    <t xml:space="preserve">        NTILE(5) OVER (ORDER BY frequency_apps DESC) AS f_score,</t>
  </si>
  <si>
    <t xml:space="preserve">        NTILE(5) OVER (ORDER BY total_monetary_val DESC) AS m_score </t>
  </si>
  <si>
    <t>-- Higher principal = Score 5</t>
  </si>
  <si>
    <t xml:space="preserve">    user_id,</t>
  </si>
  <si>
    <t xml:space="preserve">    recency_days,</t>
  </si>
  <si>
    <t xml:space="preserve">    frequency_apps,</t>
  </si>
  <si>
    <t xml:space="preserve">    FORMAT(total_monetary_val, 0) AS total_disbursed_principal_inr,</t>
  </si>
  <si>
    <t xml:space="preserve">    r_score,  f_score,  m_score,</t>
  </si>
  <si>
    <t xml:space="preserve">    (r_score + f_score + m_score) AS total_rfm_score,</t>
  </si>
  <si>
    <t xml:space="preserve">        COUNT(a.application_id) AS frequency_apps,</t>
  </si>
  <si>
    <t>VIP / High Value Champion</t>
  </si>
  <si>
    <t>user_id</t>
  </si>
  <si>
    <t xml:space="preserve"> recency_days</t>
  </si>
  <si>
    <t xml:space="preserve"> frequency_apps</t>
  </si>
  <si>
    <t xml:space="preserve"> total_disbursed_principal_inr</t>
  </si>
  <si>
    <t xml:space="preserve"> r_score</t>
  </si>
  <si>
    <t xml:space="preserve"> total_rfm_score</t>
  </si>
  <si>
    <t xml:space="preserve"> customer_persona</t>
  </si>
  <si>
    <t>11. RFM (Recency, Frequency, Monetary) Customer Segmentation</t>
  </si>
  <si>
    <t>Stage SLA Breach &amp; Funnel Survival Analysis</t>
  </si>
  <si>
    <r>
      <t>Measure processing turnaround time (in hours) between application creation (</t>
    </r>
    <r>
      <rPr>
        <sz val="11"/>
        <rFont val="Calibri"/>
        <family val="2"/>
        <scheme val="minor"/>
      </rPr>
      <t>created_at) and final decision (updated_at). Identify applications where processing exceeded </t>
    </r>
    <r>
      <rPr>
        <b/>
        <sz val="11"/>
        <rFont val="Calibri"/>
        <family val="2"/>
        <scheme val="minor"/>
      </rPr>
      <t>24 hours</t>
    </r>
    <r>
      <rPr>
        <sz val="11"/>
        <rFont val="Calibri"/>
        <family val="2"/>
        <scheme val="minor"/>
      </rPr>
      <t xml:space="preserve"> across stages!</t>
    </r>
  </si>
  <si>
    <t>WITH stage_processing AS (</t>
  </si>
  <si>
    <t>FROM stage_processing</t>
  </si>
  <si>
    <t>GROUP BY current_stage</t>
  </si>
  <si>
    <t>ORDER BY avg_processing_hours DESC;</t>
  </si>
  <si>
    <t xml:space="preserve">        a.current_stage,</t>
  </si>
  <si>
    <t xml:space="preserve">        TIMESTAMPDIFF(HOUR, a.created_at, a.updated_at) AS processing_time_hours,</t>
  </si>
  <si>
    <t xml:space="preserve">        CASE WHEN TIMESTAMPDIFF(HOUR,  a.created_at,  a.updated_at) &gt; 24 THEN 1 ELSE 0 END AS is_sla_breached</t>
  </si>
  <si>
    <t xml:space="preserve">    current_stage,</t>
  </si>
  <si>
    <t xml:space="preserve">    COUNT(application_id) AS total_apps,</t>
  </si>
  <si>
    <t xml:space="preserve">    ROUND(AVG(processing_time_hours),  1) AS avg_processing_hours,</t>
  </si>
  <si>
    <t xml:space="preserve">    SUM(is_sla_breached) AS total_sla_breaches,</t>
  </si>
  <si>
    <t xml:space="preserve">    ROUND(SUM(is_sla_breached) * 100.0 / COUNT(application_id),  2) AS sla_breach_pct</t>
  </si>
  <si>
    <t>current_stage</t>
  </si>
  <si>
    <t xml:space="preserve"> total_apps</t>
  </si>
  <si>
    <t xml:space="preserve"> avg_processing_hours</t>
  </si>
  <si>
    <t xml:space="preserve"> total_sla_breaches</t>
  </si>
  <si>
    <t xml:space="preserve"> sla_breach_pct</t>
  </si>
  <si>
    <t>12. Stage SLA Breach &amp; Funnel Survival Analysis</t>
  </si>
  <si>
    <t>Module 6</t>
  </si>
  <si>
    <t>Module 7</t>
  </si>
  <si>
    <t>Module 8</t>
  </si>
  <si>
    <r>
      <t>We will cover below</t>
    </r>
    <r>
      <rPr>
        <b/>
        <sz val="10"/>
        <rFont val="Arial"/>
        <family val="2"/>
      </rPr>
      <t xml:space="preserve"> Advanced Modules</t>
    </r>
    <r>
      <rPr>
        <sz val="10"/>
        <rFont val="Arial"/>
        <family val="2"/>
      </rPr>
      <t>:</t>
    </r>
  </si>
  <si>
    <t xml:space="preserve"> Delinquency Escalation Velocity &amp; Early Warning Alert System</t>
  </si>
  <si>
    <t xml:space="preserve"> Rfm (Recency, Frequency, Monetary) Customer Segmentation</t>
  </si>
  <si>
    <t>SLA - Service Level Agreement</t>
  </si>
  <si>
    <t>SLA is the maximum target time a company promises to complete a specific step or service.</t>
  </si>
  <si>
    <t xml:space="preserve"> Stage SLA Breach &amp; Funnel Survival Analysis</t>
  </si>
  <si>
    <t>Advanced Analytics</t>
  </si>
  <si>
    <t>Re-engagement Analytics</t>
  </si>
  <si>
    <t xml:space="preserve">            THEN LEAST(a.requested_amount,  100000.0)</t>
  </si>
  <si>
    <t xml:space="preserve">    ROUND(COUNT(CASE WHEN a.current_stage = 'DISBURSED' THEN a.application_id END) * 100.0 / COUNT(a.application_id), 2) AS approval_rate_pct,</t>
  </si>
  <si>
    <t>Basic analytics - Funnel analysis, State-wise, Gender-wise, City-tier wise, Employment-wise, Monthly-income wise analysis</t>
  </si>
  <si>
    <t>Module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</si>
</sst>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5E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  <xf numFmtId="0" fontId="7" fillId="2" borderId="0" xfId="0" applyFont="1" applyFill="1"/>
    <xf numFmtId="0" fontId="6" fillId="0" borderId="0" xfId="0" applyFont="1"/>
    <xf numFmtId="0" fontId="6" fillId="3" borderId="0" xfId="0" applyFont="1" applyFill="1" applyAlignment="1">
      <alignment vertic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vertical="center" wrapText="1"/>
    </xf>
    <xf numFmtId="0" fontId="6" fillId="5" borderId="0" xfId="0" applyFont="1" applyFill="1"/>
    <xf numFmtId="0" fontId="0" fillId="5" borderId="0" xfId="0" applyFill="1"/>
    <xf numFmtId="9" fontId="0" fillId="0" borderId="1" xfId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9" fontId="0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165" fontId="0" fillId="0" borderId="1" xfId="1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6" borderId="0" xfId="0" applyFill="1"/>
    <xf numFmtId="0" fontId="6" fillId="7" borderId="0" xfId="0" applyFont="1" applyFill="1"/>
    <xf numFmtId="0" fontId="6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/>
    </xf>
    <xf numFmtId="0" fontId="0" fillId="7" borderId="0" xfId="0" applyFill="1"/>
    <xf numFmtId="0" fontId="6" fillId="6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6" fillId="6" borderId="0" xfId="0" applyFont="1" applyFill="1"/>
    <xf numFmtId="0" fontId="8" fillId="6" borderId="0" xfId="0" applyFont="1" applyFill="1" applyAlignment="1">
      <alignment vertical="center"/>
    </xf>
    <xf numFmtId="0" fontId="9" fillId="8" borderId="0" xfId="0" applyFont="1" applyFill="1"/>
    <xf numFmtId="0" fontId="0" fillId="8" borderId="0" xfId="0" applyFill="1"/>
    <xf numFmtId="0" fontId="6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6" fillId="4" borderId="2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5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>
      <selection activeCell="K10" sqref="K10"/>
    </sheetView>
  </sheetViews>
  <sheetFormatPr defaultRowHeight="14.4" x14ac:dyDescent="0.3"/>
  <cols>
    <col min="1" max="1" width="11.5546875" customWidth="1"/>
    <col min="8" max="8" width="21.21875" customWidth="1"/>
    <col min="10" max="10" width="14" bestFit="1" customWidth="1"/>
    <col min="11" max="11" width="14.77734375" bestFit="1" customWidth="1"/>
  </cols>
  <sheetData>
    <row r="1" spans="1:11" x14ac:dyDescent="0.3">
      <c r="A1" s="1" t="s">
        <v>480</v>
      </c>
    </row>
    <row r="2" spans="1:11" x14ac:dyDescent="0.3">
      <c r="A2" s="8" t="s">
        <v>4</v>
      </c>
      <c r="B2" t="s">
        <v>490</v>
      </c>
    </row>
    <row r="3" spans="1:11" x14ac:dyDescent="0.3">
      <c r="A3" s="8" t="s">
        <v>5</v>
      </c>
      <c r="B3" t="s">
        <v>487</v>
      </c>
    </row>
    <row r="4" spans="1:11" x14ac:dyDescent="0.3">
      <c r="A4" s="8" t="s">
        <v>6</v>
      </c>
      <c r="B4" t="s">
        <v>0</v>
      </c>
    </row>
    <row r="5" spans="1:11" x14ac:dyDescent="0.3">
      <c r="A5" s="8" t="s">
        <v>7</v>
      </c>
      <c r="B5" t="s">
        <v>1</v>
      </c>
    </row>
    <row r="6" spans="1:11" x14ac:dyDescent="0.3">
      <c r="A6" s="8" t="s">
        <v>8</v>
      </c>
      <c r="B6" t="s">
        <v>2</v>
      </c>
    </row>
    <row r="7" spans="1:11" x14ac:dyDescent="0.3">
      <c r="A7" s="8" t="s">
        <v>477</v>
      </c>
      <c r="B7" t="s">
        <v>3</v>
      </c>
      <c r="K7" s="2"/>
    </row>
    <row r="8" spans="1:11" x14ac:dyDescent="0.3">
      <c r="A8" s="8" t="s">
        <v>478</v>
      </c>
      <c r="B8" t="s">
        <v>481</v>
      </c>
      <c r="K8" s="2"/>
    </row>
    <row r="9" spans="1:11" x14ac:dyDescent="0.3">
      <c r="A9" s="8" t="s">
        <v>479</v>
      </c>
      <c r="B9" t="s">
        <v>482</v>
      </c>
      <c r="K9" s="2"/>
    </row>
    <row r="10" spans="1:11" x14ac:dyDescent="0.3">
      <c r="A10" s="8" t="s">
        <v>491</v>
      </c>
      <c r="B10" t="s">
        <v>485</v>
      </c>
      <c r="K10" s="2"/>
    </row>
    <row r="11" spans="1:11" x14ac:dyDescent="0.3">
      <c r="A11" s="3"/>
    </row>
    <row r="12" spans="1:11" x14ac:dyDescent="0.3">
      <c r="B12" t="s">
        <v>483</v>
      </c>
    </row>
    <row r="13" spans="1:11" x14ac:dyDescent="0.3">
      <c r="B13" t="s">
        <v>484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4A36-DBF1-490F-9C99-15FC8C68D90E}">
  <dimension ref="A1:J62"/>
  <sheetViews>
    <sheetView workbookViewId="0">
      <selection activeCell="D20" sqref="D20"/>
    </sheetView>
  </sheetViews>
  <sheetFormatPr defaultRowHeight="14.4" x14ac:dyDescent="0.3"/>
  <cols>
    <col min="1" max="1" width="18" customWidth="1"/>
    <col min="2" max="2" width="9.88671875" bestFit="1" customWidth="1"/>
    <col min="3" max="3" width="14.44140625" customWidth="1"/>
    <col min="4" max="4" width="22.33203125" style="19" bestFit="1" customWidth="1"/>
    <col min="5" max="5" width="13.88671875" style="19" bestFit="1" customWidth="1"/>
    <col min="6" max="6" width="22.88671875" style="19" customWidth="1"/>
    <col min="7" max="7" width="14.33203125" style="19" bestFit="1" customWidth="1"/>
    <col min="8" max="8" width="20.33203125" bestFit="1" customWidth="1"/>
    <col min="9" max="9" width="17.77734375" bestFit="1" customWidth="1"/>
    <col min="10" max="10" width="12" bestFit="1" customWidth="1"/>
  </cols>
  <sheetData>
    <row r="1" spans="1:10" ht="18" x14ac:dyDescent="0.35">
      <c r="A1" s="7" t="s">
        <v>58</v>
      </c>
    </row>
    <row r="3" spans="1:10" x14ac:dyDescent="0.3">
      <c r="A3" s="26" t="s">
        <v>59</v>
      </c>
    </row>
    <row r="5" spans="1:10" x14ac:dyDescent="0.3">
      <c r="A5" s="10" t="s">
        <v>46</v>
      </c>
      <c r="B5" s="10" t="s">
        <v>14</v>
      </c>
      <c r="C5" s="10" t="s">
        <v>47</v>
      </c>
      <c r="D5" s="20" t="s">
        <v>95</v>
      </c>
      <c r="E5" s="20" t="s">
        <v>94</v>
      </c>
      <c r="F5" s="20" t="s">
        <v>44</v>
      </c>
      <c r="G5" s="21" t="s">
        <v>45</v>
      </c>
    </row>
    <row r="6" spans="1:10" x14ac:dyDescent="0.3">
      <c r="A6" s="4" t="s">
        <v>9</v>
      </c>
      <c r="B6" s="4">
        <v>14787</v>
      </c>
      <c r="C6" s="4">
        <v>15063</v>
      </c>
      <c r="D6" s="14">
        <f>C6/SUM($C$6:$C$10)</f>
        <v>0.13067013662979832</v>
      </c>
      <c r="E6" s="15">
        <v>195.34</v>
      </c>
      <c r="F6" s="15">
        <v>172.655</v>
      </c>
      <c r="G6" s="15">
        <v>0</v>
      </c>
    </row>
    <row r="7" spans="1:10" x14ac:dyDescent="0.3">
      <c r="A7" s="4" t="s">
        <v>10</v>
      </c>
      <c r="B7" s="4">
        <v>73220</v>
      </c>
      <c r="C7" s="4">
        <v>80742</v>
      </c>
      <c r="D7" s="14">
        <f t="shared" ref="D7:D10" si="0">C7/SUM($C$6:$C$10)</f>
        <v>0.70042940793754072</v>
      </c>
      <c r="E7" s="15">
        <v>1042.53</v>
      </c>
      <c r="F7" s="15">
        <v>921.59699999999998</v>
      </c>
      <c r="G7" s="15">
        <v>921.59699999999998</v>
      </c>
    </row>
    <row r="8" spans="1:10" x14ac:dyDescent="0.3">
      <c r="A8" s="4" t="s">
        <v>11</v>
      </c>
      <c r="B8" s="4">
        <v>5723</v>
      </c>
      <c r="C8" s="4">
        <v>5765</v>
      </c>
      <c r="D8" s="14">
        <f t="shared" si="0"/>
        <v>5.0010843634786382E-2</v>
      </c>
      <c r="E8" s="15">
        <v>74.930000000000007</v>
      </c>
      <c r="F8" s="15">
        <v>66.356999999999999</v>
      </c>
      <c r="G8" s="15">
        <v>0</v>
      </c>
    </row>
    <row r="9" spans="1:10" x14ac:dyDescent="0.3">
      <c r="A9" s="4" t="s">
        <v>12</v>
      </c>
      <c r="B9" s="4">
        <v>13374</v>
      </c>
      <c r="C9" s="4">
        <v>13575</v>
      </c>
      <c r="D9" s="14">
        <f t="shared" si="0"/>
        <v>0.11776187378009109</v>
      </c>
      <c r="E9" s="15">
        <v>176.42</v>
      </c>
      <c r="F9" s="15">
        <v>155.74199999999999</v>
      </c>
      <c r="G9" s="15">
        <v>0</v>
      </c>
    </row>
    <row r="10" spans="1:10" x14ac:dyDescent="0.3">
      <c r="A10" s="4" t="s">
        <v>13</v>
      </c>
      <c r="B10" s="4">
        <v>114</v>
      </c>
      <c r="C10" s="4">
        <v>130</v>
      </c>
      <c r="D10" s="23">
        <f t="shared" si="0"/>
        <v>1.127738017783561E-3</v>
      </c>
      <c r="E10" s="15">
        <v>1.58</v>
      </c>
      <c r="F10" s="16">
        <v>0</v>
      </c>
      <c r="G10" s="16">
        <v>0</v>
      </c>
    </row>
    <row r="11" spans="1:10" x14ac:dyDescent="0.3">
      <c r="A11" s="5"/>
      <c r="D11" s="17"/>
      <c r="E11" s="18"/>
    </row>
    <row r="12" spans="1:10" x14ac:dyDescent="0.3">
      <c r="A12" s="27" t="s">
        <v>122</v>
      </c>
      <c r="D12" s="17"/>
      <c r="E12" s="18"/>
    </row>
    <row r="14" spans="1:10" x14ac:dyDescent="0.3">
      <c r="A14" s="11" t="s">
        <v>30</v>
      </c>
      <c r="B14" s="10" t="s">
        <v>14</v>
      </c>
      <c r="C14" s="10" t="s">
        <v>47</v>
      </c>
      <c r="D14" s="20" t="s">
        <v>48</v>
      </c>
      <c r="E14" s="21" t="s">
        <v>49</v>
      </c>
      <c r="F14" s="20" t="s">
        <v>44</v>
      </c>
      <c r="G14" s="21" t="s">
        <v>45</v>
      </c>
    </row>
    <row r="15" spans="1:10" x14ac:dyDescent="0.3">
      <c r="A15" s="4" t="s">
        <v>29</v>
      </c>
      <c r="B15" s="4">
        <v>902</v>
      </c>
      <c r="C15" s="4">
        <v>1022</v>
      </c>
      <c r="D15" s="16">
        <v>697</v>
      </c>
      <c r="E15" s="22">
        <f>D15/C15</f>
        <v>0.68199608610567519</v>
      </c>
      <c r="F15" s="15">
        <v>11.8935</v>
      </c>
      <c r="G15" s="15">
        <v>8.0619999999999994</v>
      </c>
      <c r="I15" s="6"/>
      <c r="J15" s="6"/>
    </row>
    <row r="16" spans="1:10" x14ac:dyDescent="0.3">
      <c r="A16" s="4" t="s">
        <v>28</v>
      </c>
      <c r="B16" s="4">
        <v>1010</v>
      </c>
      <c r="C16" s="4">
        <v>1175</v>
      </c>
      <c r="D16" s="16">
        <v>834</v>
      </c>
      <c r="E16" s="22">
        <f t="shared" ref="E16:E29" si="1">D16/C16</f>
        <v>0.70978723404255317</v>
      </c>
      <c r="F16" s="15">
        <v>13.250500000000001</v>
      </c>
      <c r="G16" s="15">
        <v>9.3934999999999995</v>
      </c>
      <c r="I16" s="6"/>
      <c r="J16" s="6"/>
    </row>
    <row r="17" spans="1:10" x14ac:dyDescent="0.3">
      <c r="A17" s="4" t="s">
        <v>20</v>
      </c>
      <c r="B17" s="4">
        <v>11895</v>
      </c>
      <c r="C17" s="4">
        <v>13723</v>
      </c>
      <c r="D17" s="16">
        <v>9592</v>
      </c>
      <c r="E17" s="22">
        <f t="shared" si="1"/>
        <v>0.69897252787291408</v>
      </c>
      <c r="F17" s="15">
        <v>157.00149999999999</v>
      </c>
      <c r="G17" s="15">
        <v>109.32299999999999</v>
      </c>
      <c r="I17" s="6"/>
      <c r="J17" s="6"/>
    </row>
    <row r="18" spans="1:10" x14ac:dyDescent="0.3">
      <c r="A18" s="4" t="s">
        <v>17</v>
      </c>
      <c r="B18" s="4">
        <v>8033</v>
      </c>
      <c r="C18" s="4">
        <v>9244</v>
      </c>
      <c r="D18" s="16">
        <v>6515</v>
      </c>
      <c r="E18" s="22">
        <f t="shared" si="1"/>
        <v>0.70478147987884032</v>
      </c>
      <c r="F18" s="15">
        <v>105.7325</v>
      </c>
      <c r="G18" s="15">
        <v>74.1845</v>
      </c>
      <c r="I18" s="6"/>
      <c r="J18" s="6"/>
    </row>
    <row r="19" spans="1:10" x14ac:dyDescent="0.3">
      <c r="A19" s="4" t="s">
        <v>23</v>
      </c>
      <c r="B19" s="4">
        <v>4088</v>
      </c>
      <c r="C19" s="4">
        <v>4748</v>
      </c>
      <c r="D19" s="16">
        <v>3285</v>
      </c>
      <c r="E19" s="22">
        <f t="shared" si="1"/>
        <v>0.69187026116259476</v>
      </c>
      <c r="F19" s="15">
        <v>54.415500000000002</v>
      </c>
      <c r="G19" s="15">
        <v>37.526499999999999</v>
      </c>
      <c r="I19" s="6"/>
      <c r="J19" s="6"/>
    </row>
    <row r="20" spans="1:10" x14ac:dyDescent="0.3">
      <c r="A20" s="4" t="s">
        <v>15</v>
      </c>
      <c r="B20" s="4">
        <v>14057</v>
      </c>
      <c r="C20" s="4">
        <v>16178</v>
      </c>
      <c r="D20" s="16">
        <v>11303</v>
      </c>
      <c r="E20" s="22">
        <f t="shared" si="1"/>
        <v>0.6986648535047596</v>
      </c>
      <c r="F20" s="15">
        <v>185.62549999999999</v>
      </c>
      <c r="G20" s="15">
        <v>129.58750000000001</v>
      </c>
      <c r="I20" s="6"/>
      <c r="J20" s="6"/>
    </row>
    <row r="21" spans="1:10" x14ac:dyDescent="0.3">
      <c r="A21" s="4" t="s">
        <v>22</v>
      </c>
      <c r="B21" s="4">
        <v>1048</v>
      </c>
      <c r="C21" s="4">
        <v>1204</v>
      </c>
      <c r="D21" s="16">
        <v>858</v>
      </c>
      <c r="E21" s="22">
        <f t="shared" si="1"/>
        <v>0.71262458471760792</v>
      </c>
      <c r="F21" s="15">
        <v>13.528</v>
      </c>
      <c r="G21" s="15">
        <v>9.6545000000000005</v>
      </c>
      <c r="I21" s="6"/>
      <c r="J21" s="6"/>
    </row>
    <row r="22" spans="1:10" x14ac:dyDescent="0.3">
      <c r="A22" s="4" t="s">
        <v>27</v>
      </c>
      <c r="B22" s="4">
        <v>2056</v>
      </c>
      <c r="C22" s="4">
        <v>2385</v>
      </c>
      <c r="D22" s="16">
        <v>1670</v>
      </c>
      <c r="E22" s="22">
        <f t="shared" si="1"/>
        <v>0.70020964360587001</v>
      </c>
      <c r="F22" s="15">
        <v>26.6145</v>
      </c>
      <c r="G22" s="15">
        <v>18.640499999999999</v>
      </c>
      <c r="I22" s="6"/>
      <c r="J22" s="6"/>
    </row>
    <row r="23" spans="1:10" x14ac:dyDescent="0.3">
      <c r="A23" s="4" t="s">
        <v>19</v>
      </c>
      <c r="B23" s="4">
        <v>17912</v>
      </c>
      <c r="C23" s="4">
        <v>20694</v>
      </c>
      <c r="D23" s="16">
        <v>14373</v>
      </c>
      <c r="E23" s="22">
        <f t="shared" si="1"/>
        <v>0.69454914467961726</v>
      </c>
      <c r="F23" s="15">
        <v>235.488</v>
      </c>
      <c r="G23" s="15">
        <v>163.79300000000001</v>
      </c>
      <c r="I23" s="6"/>
      <c r="J23" s="6"/>
    </row>
    <row r="24" spans="1:10" x14ac:dyDescent="0.3">
      <c r="A24" s="4" t="s">
        <v>26</v>
      </c>
      <c r="B24" s="4">
        <v>2007</v>
      </c>
      <c r="C24" s="4">
        <v>2328</v>
      </c>
      <c r="D24" s="16">
        <v>1634</v>
      </c>
      <c r="E24" s="22">
        <f t="shared" si="1"/>
        <v>0.70189003436426112</v>
      </c>
      <c r="F24" s="15">
        <v>26.155999999999999</v>
      </c>
      <c r="G24" s="15">
        <v>18.129000000000001</v>
      </c>
      <c r="I24" s="6"/>
      <c r="J24" s="6"/>
    </row>
    <row r="25" spans="1:10" x14ac:dyDescent="0.3">
      <c r="A25" s="4" t="s">
        <v>21</v>
      </c>
      <c r="B25" s="4">
        <v>5076</v>
      </c>
      <c r="C25" s="4">
        <v>5815</v>
      </c>
      <c r="D25" s="16">
        <v>4157</v>
      </c>
      <c r="E25" s="22">
        <f t="shared" si="1"/>
        <v>0.71487532244196039</v>
      </c>
      <c r="F25" s="15">
        <v>66.209500000000006</v>
      </c>
      <c r="G25" s="15">
        <v>47.404000000000003</v>
      </c>
      <c r="I25" s="6"/>
      <c r="J25" s="6"/>
    </row>
    <row r="26" spans="1:10" x14ac:dyDescent="0.3">
      <c r="A26" s="4" t="s">
        <v>25</v>
      </c>
      <c r="B26" s="4">
        <v>10068</v>
      </c>
      <c r="C26" s="4">
        <v>11621</v>
      </c>
      <c r="D26" s="16">
        <v>8139</v>
      </c>
      <c r="E26" s="22">
        <f t="shared" si="1"/>
        <v>0.70037001979175628</v>
      </c>
      <c r="F26" s="15">
        <v>133.45849999999999</v>
      </c>
      <c r="G26" s="15">
        <v>93.508499999999998</v>
      </c>
      <c r="I26" s="6"/>
      <c r="J26" s="6"/>
    </row>
    <row r="27" spans="1:10" x14ac:dyDescent="0.3">
      <c r="A27" s="4" t="s">
        <v>18</v>
      </c>
      <c r="B27" s="4">
        <v>6998</v>
      </c>
      <c r="C27" s="4">
        <v>8031</v>
      </c>
      <c r="D27" s="16">
        <v>5675</v>
      </c>
      <c r="E27" s="22">
        <f t="shared" si="1"/>
        <v>0.70663678246793671</v>
      </c>
      <c r="F27" s="15">
        <v>91.545500000000004</v>
      </c>
      <c r="G27" s="15">
        <v>64.632000000000005</v>
      </c>
      <c r="I27" s="6"/>
      <c r="J27" s="6"/>
    </row>
    <row r="28" spans="1:10" x14ac:dyDescent="0.3">
      <c r="A28" s="4" t="s">
        <v>16</v>
      </c>
      <c r="B28" s="4">
        <v>8935</v>
      </c>
      <c r="C28" s="4">
        <v>10238</v>
      </c>
      <c r="D28" s="16">
        <v>7186</v>
      </c>
      <c r="E28" s="22">
        <f t="shared" si="1"/>
        <v>0.70189490134791954</v>
      </c>
      <c r="F28" s="15">
        <v>116.89149999999999</v>
      </c>
      <c r="G28" s="15">
        <v>82.603999999999999</v>
      </c>
      <c r="I28" s="6"/>
      <c r="J28" s="6"/>
    </row>
    <row r="29" spans="1:10" x14ac:dyDescent="0.3">
      <c r="A29" s="4" t="s">
        <v>24</v>
      </c>
      <c r="B29" s="4">
        <v>5915</v>
      </c>
      <c r="C29" s="4">
        <v>6869</v>
      </c>
      <c r="D29" s="16">
        <v>4824</v>
      </c>
      <c r="E29" s="22">
        <f t="shared" si="1"/>
        <v>0.70228563109622943</v>
      </c>
      <c r="F29" s="15">
        <v>78.540499999999994</v>
      </c>
      <c r="G29" s="15">
        <v>55.154499999999999</v>
      </c>
      <c r="I29" s="6"/>
      <c r="J29" s="6"/>
    </row>
    <row r="31" spans="1:10" x14ac:dyDescent="0.3">
      <c r="A31" s="27" t="s">
        <v>60</v>
      </c>
    </row>
    <row r="33" spans="1:7" x14ac:dyDescent="0.3">
      <c r="A33" s="10" t="s">
        <v>34</v>
      </c>
      <c r="B33" s="10" t="s">
        <v>14</v>
      </c>
      <c r="C33" s="10" t="s">
        <v>47</v>
      </c>
      <c r="D33" s="20" t="s">
        <v>48</v>
      </c>
      <c r="E33" s="21" t="s">
        <v>49</v>
      </c>
      <c r="F33" s="20" t="s">
        <v>44</v>
      </c>
      <c r="G33" s="21" t="s">
        <v>45</v>
      </c>
    </row>
    <row r="34" spans="1:7" x14ac:dyDescent="0.3">
      <c r="A34" s="4" t="s">
        <v>32</v>
      </c>
      <c r="B34" s="4">
        <v>30730</v>
      </c>
      <c r="C34" s="4">
        <v>35455</v>
      </c>
      <c r="D34" s="16">
        <v>25071</v>
      </c>
      <c r="E34" s="22">
        <f>D34/C34</f>
        <v>0.70712170356790294</v>
      </c>
      <c r="F34" s="15">
        <v>404.01749999999998</v>
      </c>
      <c r="G34" s="15">
        <v>285.73099999999999</v>
      </c>
    </row>
    <row r="35" spans="1:7" x14ac:dyDescent="0.3">
      <c r="A35" s="4" t="s">
        <v>31</v>
      </c>
      <c r="B35" s="4">
        <v>68214</v>
      </c>
      <c r="C35" s="4">
        <v>78614</v>
      </c>
      <c r="D35" s="16">
        <v>54848</v>
      </c>
      <c r="E35" s="22">
        <f t="shared" ref="E35:E36" si="2">D35/C35</f>
        <v>0.69768743480804951</v>
      </c>
      <c r="F35" s="15">
        <v>898.68550000000005</v>
      </c>
      <c r="G35" s="15">
        <v>626.56700000000001</v>
      </c>
    </row>
    <row r="36" spans="1:7" x14ac:dyDescent="0.3">
      <c r="A36" s="4" t="s">
        <v>33</v>
      </c>
      <c r="B36" s="4">
        <v>1056</v>
      </c>
      <c r="C36" s="4">
        <v>1206</v>
      </c>
      <c r="D36" s="16">
        <v>823</v>
      </c>
      <c r="E36" s="22">
        <f t="shared" si="2"/>
        <v>0.68242122719734655</v>
      </c>
      <c r="F36" s="15">
        <v>13.648</v>
      </c>
      <c r="G36" s="15">
        <v>9.2989999999999995</v>
      </c>
    </row>
    <row r="38" spans="1:7" x14ac:dyDescent="0.3">
      <c r="A38" s="27" t="s">
        <v>61</v>
      </c>
    </row>
    <row r="40" spans="1:7" x14ac:dyDescent="0.3">
      <c r="A40" s="10" t="s">
        <v>38</v>
      </c>
      <c r="B40" s="10" t="s">
        <v>14</v>
      </c>
      <c r="C40" s="10" t="s">
        <v>47</v>
      </c>
      <c r="D40" s="20" t="s">
        <v>48</v>
      </c>
      <c r="E40" s="21" t="s">
        <v>49</v>
      </c>
      <c r="F40" s="20" t="s">
        <v>44</v>
      </c>
      <c r="G40" s="21" t="s">
        <v>45</v>
      </c>
    </row>
    <row r="41" spans="1:7" x14ac:dyDescent="0.3">
      <c r="A41" s="4" t="s">
        <v>35</v>
      </c>
      <c r="B41" s="4">
        <v>50260</v>
      </c>
      <c r="C41" s="4">
        <v>57986</v>
      </c>
      <c r="D41" s="16">
        <v>40566</v>
      </c>
      <c r="E41" s="22">
        <f>D41/C41</f>
        <v>0.69958265788293728</v>
      </c>
      <c r="F41" s="15">
        <v>662.33050000000003</v>
      </c>
      <c r="G41" s="15">
        <v>462.59500000000003</v>
      </c>
    </row>
    <row r="42" spans="1:7" x14ac:dyDescent="0.3">
      <c r="A42" s="4" t="s">
        <v>36</v>
      </c>
      <c r="B42" s="4">
        <v>32748</v>
      </c>
      <c r="C42" s="4">
        <v>37788</v>
      </c>
      <c r="D42" s="16">
        <v>26472</v>
      </c>
      <c r="E42" s="22">
        <f t="shared" ref="E42:E43" si="3">D42/C42</f>
        <v>0.70053985392188001</v>
      </c>
      <c r="F42" s="15">
        <v>431.13299999999998</v>
      </c>
      <c r="G42" s="15">
        <v>302.74</v>
      </c>
    </row>
    <row r="43" spans="1:7" x14ac:dyDescent="0.3">
      <c r="A43" s="4" t="s">
        <v>37</v>
      </c>
      <c r="B43" s="4">
        <v>16992</v>
      </c>
      <c r="C43" s="4">
        <v>19501</v>
      </c>
      <c r="D43" s="16">
        <v>13704</v>
      </c>
      <c r="E43" s="22">
        <f t="shared" si="3"/>
        <v>0.70273319316958105</v>
      </c>
      <c r="F43" s="15">
        <v>222.88749999999999</v>
      </c>
      <c r="G43" s="15">
        <v>156.262</v>
      </c>
    </row>
    <row r="45" spans="1:7" x14ac:dyDescent="0.3">
      <c r="A45" s="9" t="s">
        <v>62</v>
      </c>
    </row>
    <row r="47" spans="1:7" x14ac:dyDescent="0.3">
      <c r="A47" s="10" t="s">
        <v>43</v>
      </c>
      <c r="B47" s="10" t="s">
        <v>14</v>
      </c>
      <c r="C47" s="10" t="s">
        <v>47</v>
      </c>
      <c r="D47" s="20" t="s">
        <v>48</v>
      </c>
      <c r="E47" s="21" t="s">
        <v>49</v>
      </c>
      <c r="F47" s="20" t="s">
        <v>44</v>
      </c>
      <c r="G47" s="21" t="s">
        <v>45</v>
      </c>
    </row>
    <row r="48" spans="1:7" x14ac:dyDescent="0.3">
      <c r="A48" s="4" t="s">
        <v>42</v>
      </c>
      <c r="B48" s="4">
        <v>4921</v>
      </c>
      <c r="C48" s="4">
        <v>5702</v>
      </c>
      <c r="D48" s="16">
        <v>3976</v>
      </c>
      <c r="E48" s="22">
        <f>D48/C48</f>
        <v>0.69729919326552092</v>
      </c>
      <c r="F48" s="15">
        <v>65.230999999999995</v>
      </c>
      <c r="G48" s="15">
        <v>45.537999999999997</v>
      </c>
    </row>
    <row r="49" spans="1:7" x14ac:dyDescent="0.3">
      <c r="A49" s="4" t="s">
        <v>39</v>
      </c>
      <c r="B49" s="4">
        <v>10021</v>
      </c>
      <c r="C49" s="4">
        <v>11543</v>
      </c>
      <c r="D49" s="16">
        <v>8069</v>
      </c>
      <c r="E49" s="22">
        <f t="shared" ref="E49:E51" si="4">D49/C49</f>
        <v>0.69903837823789305</v>
      </c>
      <c r="F49" s="15">
        <v>132.31</v>
      </c>
      <c r="G49" s="15">
        <v>92.356499999999997</v>
      </c>
    </row>
    <row r="50" spans="1:7" x14ac:dyDescent="0.3">
      <c r="A50" s="4" t="s">
        <v>40</v>
      </c>
      <c r="B50" s="4">
        <v>65214</v>
      </c>
      <c r="C50" s="4">
        <v>75236</v>
      </c>
      <c r="D50" s="16">
        <v>52679</v>
      </c>
      <c r="E50" s="22">
        <f t="shared" si="4"/>
        <v>0.70018342282949653</v>
      </c>
      <c r="F50" s="15">
        <v>858.63</v>
      </c>
      <c r="G50" s="15">
        <v>600.26499999999999</v>
      </c>
    </row>
    <row r="51" spans="1:7" x14ac:dyDescent="0.3">
      <c r="A51" s="4" t="s">
        <v>41</v>
      </c>
      <c r="B51" s="4">
        <v>19844</v>
      </c>
      <c r="C51" s="4">
        <v>22794</v>
      </c>
      <c r="D51" s="16">
        <v>16018</v>
      </c>
      <c r="E51" s="22">
        <f t="shared" si="4"/>
        <v>0.70272878827761687</v>
      </c>
      <c r="F51" s="15">
        <v>260.18</v>
      </c>
      <c r="G51" s="15">
        <v>183.4375</v>
      </c>
    </row>
    <row r="53" spans="1:7" x14ac:dyDescent="0.3">
      <c r="A53" s="28" t="s">
        <v>63</v>
      </c>
      <c r="B53" s="29"/>
    </row>
    <row r="55" spans="1:7" x14ac:dyDescent="0.3">
      <c r="A55" s="10" t="s">
        <v>50</v>
      </c>
      <c r="B55" s="10" t="s">
        <v>14</v>
      </c>
      <c r="C55" s="10" t="s">
        <v>47</v>
      </c>
      <c r="D55" s="20" t="s">
        <v>48</v>
      </c>
      <c r="E55" s="21" t="s">
        <v>49</v>
      </c>
      <c r="F55" s="20" t="s">
        <v>44</v>
      </c>
      <c r="G55" s="21" t="s">
        <v>45</v>
      </c>
    </row>
    <row r="56" spans="1:7" x14ac:dyDescent="0.3">
      <c r="A56" s="4" t="s">
        <v>51</v>
      </c>
      <c r="B56" s="4">
        <v>56</v>
      </c>
      <c r="C56" s="4">
        <v>65</v>
      </c>
      <c r="D56" s="16">
        <v>48</v>
      </c>
      <c r="E56" s="22">
        <f>D56/C56</f>
        <v>0.7384615384615385</v>
      </c>
      <c r="F56" s="16">
        <v>0.8</v>
      </c>
      <c r="G56" s="16">
        <v>0.61</v>
      </c>
    </row>
    <row r="57" spans="1:7" x14ac:dyDescent="0.3">
      <c r="A57" s="4" t="s">
        <v>52</v>
      </c>
      <c r="B57" s="4">
        <v>17101</v>
      </c>
      <c r="C57" s="4">
        <v>19734</v>
      </c>
      <c r="D57" s="16">
        <v>13820</v>
      </c>
      <c r="E57" s="22">
        <f t="shared" ref="E57:E62" si="5">D57/C57</f>
        <v>0.70031417857504819</v>
      </c>
      <c r="F57" s="16">
        <v>219.64</v>
      </c>
      <c r="G57" s="16">
        <v>153.9</v>
      </c>
    </row>
    <row r="58" spans="1:7" x14ac:dyDescent="0.3">
      <c r="A58" s="4" t="s">
        <v>53</v>
      </c>
      <c r="B58" s="4">
        <v>2969</v>
      </c>
      <c r="C58" s="4">
        <v>3395</v>
      </c>
      <c r="D58" s="16">
        <v>2382</v>
      </c>
      <c r="E58" s="22">
        <f t="shared" si="5"/>
        <v>0.70162002945508095</v>
      </c>
      <c r="F58" s="16">
        <v>39.43</v>
      </c>
      <c r="G58" s="16">
        <v>27.78</v>
      </c>
    </row>
    <row r="59" spans="1:7" x14ac:dyDescent="0.3">
      <c r="A59" s="4" t="s">
        <v>54</v>
      </c>
      <c r="B59" s="4">
        <v>354</v>
      </c>
      <c r="C59" s="4">
        <v>410</v>
      </c>
      <c r="D59" s="16">
        <v>282</v>
      </c>
      <c r="E59" s="22">
        <f t="shared" si="5"/>
        <v>0.68780487804878043</v>
      </c>
      <c r="F59" s="16">
        <v>4.6399999999999997</v>
      </c>
      <c r="G59" s="16">
        <v>3.21</v>
      </c>
    </row>
    <row r="60" spans="1:7" x14ac:dyDescent="0.3">
      <c r="A60" s="4" t="s">
        <v>55</v>
      </c>
      <c r="B60" s="4">
        <v>50049</v>
      </c>
      <c r="C60" s="4">
        <v>57681</v>
      </c>
      <c r="D60" s="16">
        <v>40316</v>
      </c>
      <c r="E60" s="22">
        <f>D60/C60</f>
        <v>0.69894766040810663</v>
      </c>
      <c r="F60" s="16">
        <v>655.29</v>
      </c>
      <c r="G60" s="16">
        <v>458.19</v>
      </c>
    </row>
    <row r="61" spans="1:7" x14ac:dyDescent="0.3">
      <c r="A61" s="4" t="s">
        <v>56</v>
      </c>
      <c r="B61" s="4">
        <v>22366</v>
      </c>
      <c r="C61" s="4">
        <v>25818</v>
      </c>
      <c r="D61" s="16">
        <v>18149</v>
      </c>
      <c r="E61" s="22">
        <f t="shared" si="5"/>
        <v>0.70295917576884348</v>
      </c>
      <c r="F61" s="16">
        <v>301.49</v>
      </c>
      <c r="G61" s="16">
        <v>211.42</v>
      </c>
    </row>
    <row r="62" spans="1:7" x14ac:dyDescent="0.3">
      <c r="A62" s="4" t="s">
        <v>57</v>
      </c>
      <c r="B62" s="4">
        <v>7105</v>
      </c>
      <c r="C62" s="4">
        <v>8172</v>
      </c>
      <c r="D62" s="16">
        <v>5745</v>
      </c>
      <c r="E62" s="22">
        <f t="shared" si="5"/>
        <v>0.7030102790014684</v>
      </c>
      <c r="F62" s="16">
        <v>95.07</v>
      </c>
      <c r="G62" s="16">
        <v>66.48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4FD7-0C04-4AA6-9708-362A2A853F81}">
  <dimension ref="A1:P148"/>
  <sheetViews>
    <sheetView workbookViewId="0">
      <selection activeCell="D17" sqref="D17"/>
    </sheetView>
  </sheetViews>
  <sheetFormatPr defaultRowHeight="14.4" x14ac:dyDescent="0.3"/>
  <cols>
    <col min="1" max="1" width="21.44140625" customWidth="1"/>
    <col min="2" max="2" width="28.21875" bestFit="1" customWidth="1"/>
    <col min="3" max="3" width="20.6640625" customWidth="1"/>
    <col min="4" max="4" width="26.6640625" bestFit="1" customWidth="1"/>
    <col min="5" max="5" width="31.77734375" bestFit="1" customWidth="1"/>
    <col min="6" max="6" width="26.21875" bestFit="1" customWidth="1"/>
    <col min="7" max="7" width="25.6640625" bestFit="1" customWidth="1"/>
    <col min="8" max="8" width="14.33203125" bestFit="1" customWidth="1"/>
    <col min="9" max="9" width="29.44140625" customWidth="1"/>
    <col min="10" max="10" width="20.109375" bestFit="1" customWidth="1"/>
    <col min="11" max="11" width="16.21875" bestFit="1" customWidth="1"/>
    <col min="12" max="12" width="27" bestFit="1" customWidth="1"/>
    <col min="13" max="13" width="29.5546875" bestFit="1" customWidth="1"/>
    <col min="14" max="14" width="19" bestFit="1" customWidth="1"/>
    <col min="15" max="15" width="20.109375" bestFit="1" customWidth="1"/>
    <col min="16" max="16" width="15.33203125" bestFit="1" customWidth="1"/>
    <col min="17" max="17" width="23.6640625" bestFit="1" customWidth="1"/>
  </cols>
  <sheetData>
    <row r="1" spans="1:16" ht="18" x14ac:dyDescent="0.35">
      <c r="A1" s="7" t="s">
        <v>486</v>
      </c>
    </row>
    <row r="3" spans="1:16" x14ac:dyDescent="0.3">
      <c r="A3" s="31" t="s">
        <v>184</v>
      </c>
      <c r="B3" s="29"/>
    </row>
    <row r="5" spans="1:16" x14ac:dyDescent="0.3">
      <c r="A5" s="10" t="s">
        <v>145</v>
      </c>
      <c r="B5" s="10" t="s">
        <v>144</v>
      </c>
      <c r="C5" s="10" t="s">
        <v>143</v>
      </c>
    </row>
    <row r="6" spans="1:16" x14ac:dyDescent="0.3">
      <c r="A6" s="16">
        <v>1293</v>
      </c>
      <c r="B6" s="16">
        <v>15</v>
      </c>
      <c r="C6" s="16">
        <v>10.5</v>
      </c>
    </row>
    <row r="9" spans="1:16" x14ac:dyDescent="0.3">
      <c r="A9" s="31" t="s">
        <v>185</v>
      </c>
      <c r="B9" s="29"/>
    </row>
    <row r="11" spans="1:16" s="8" customFormat="1" x14ac:dyDescent="0.3">
      <c r="A11" s="10" t="s">
        <v>177</v>
      </c>
      <c r="B11" s="10" t="s">
        <v>178</v>
      </c>
      <c r="C11" s="10" t="s">
        <v>179</v>
      </c>
      <c r="D11" s="10" t="s">
        <v>180</v>
      </c>
      <c r="E11" s="10" t="s">
        <v>181</v>
      </c>
      <c r="F11" s="10" t="s">
        <v>182</v>
      </c>
      <c r="G11" s="10" t="s">
        <v>183</v>
      </c>
    </row>
    <row r="12" spans="1:16" x14ac:dyDescent="0.3">
      <c r="A12" s="4" t="s">
        <v>173</v>
      </c>
      <c r="B12" s="16">
        <v>5110</v>
      </c>
      <c r="C12" s="16">
        <v>3573</v>
      </c>
      <c r="D12" s="16">
        <v>69.92</v>
      </c>
      <c r="E12" s="16">
        <v>45.85</v>
      </c>
      <c r="F12" s="16">
        <v>114.63</v>
      </c>
      <c r="G12" s="16">
        <v>11.5</v>
      </c>
      <c r="I12" s="5"/>
      <c r="J12" s="5"/>
      <c r="K12" s="5"/>
      <c r="L12" s="5"/>
      <c r="M12" s="5"/>
      <c r="N12" s="5"/>
      <c r="O12" s="5"/>
      <c r="P12" s="5"/>
    </row>
    <row r="13" spans="1:16" x14ac:dyDescent="0.3">
      <c r="A13" s="4" t="s">
        <v>174</v>
      </c>
      <c r="B13" s="16">
        <v>69663</v>
      </c>
      <c r="C13" s="16">
        <v>48917</v>
      </c>
      <c r="D13" s="16">
        <v>70.22</v>
      </c>
      <c r="E13" s="16">
        <v>610.16999999999996</v>
      </c>
      <c r="F13" s="16">
        <v>1525.44</v>
      </c>
      <c r="G13" s="16">
        <v>14</v>
      </c>
      <c r="I13" s="5"/>
      <c r="J13" s="5"/>
      <c r="K13" s="5"/>
      <c r="L13" s="5"/>
      <c r="M13" s="5"/>
      <c r="N13" s="5"/>
      <c r="O13" s="5"/>
      <c r="P13" s="5"/>
    </row>
    <row r="14" spans="1:16" x14ac:dyDescent="0.3">
      <c r="A14" s="4" t="s">
        <v>175</v>
      </c>
      <c r="B14" s="16">
        <v>35550</v>
      </c>
      <c r="C14" s="16">
        <v>24888</v>
      </c>
      <c r="D14" s="16">
        <v>70.010000000000005</v>
      </c>
      <c r="E14" s="16">
        <v>250.12</v>
      </c>
      <c r="F14" s="16">
        <v>625.30999999999995</v>
      </c>
      <c r="G14" s="16">
        <v>18</v>
      </c>
      <c r="I14" s="5"/>
      <c r="J14" s="5"/>
      <c r="K14" s="5"/>
      <c r="L14" s="5"/>
      <c r="M14" s="5"/>
      <c r="N14" s="5"/>
      <c r="O14" s="5"/>
      <c r="P14" s="5"/>
    </row>
    <row r="15" spans="1:16" x14ac:dyDescent="0.3">
      <c r="A15" s="4" t="s">
        <v>176</v>
      </c>
      <c r="B15" s="16">
        <v>4822</v>
      </c>
      <c r="C15" s="16">
        <v>3364</v>
      </c>
      <c r="D15" s="16">
        <v>69.760000000000005</v>
      </c>
      <c r="E15" s="16">
        <v>15.45</v>
      </c>
      <c r="F15" s="16">
        <v>38.619999999999997</v>
      </c>
      <c r="G15" s="16">
        <v>22.5</v>
      </c>
      <c r="I15" s="5"/>
      <c r="J15" s="5"/>
      <c r="K15" s="5"/>
      <c r="L15" s="5"/>
      <c r="M15" s="5"/>
      <c r="N15" s="5"/>
      <c r="O15" s="5"/>
      <c r="P15" s="5"/>
    </row>
    <row r="16" spans="1:16" x14ac:dyDescent="0.3">
      <c r="A16" s="4" t="s">
        <v>13</v>
      </c>
      <c r="B16" s="16">
        <v>130</v>
      </c>
      <c r="C16" s="16">
        <v>0</v>
      </c>
      <c r="D16" s="16">
        <v>0</v>
      </c>
      <c r="E16" s="16">
        <v>0</v>
      </c>
      <c r="F16" s="16">
        <v>0</v>
      </c>
      <c r="G16" s="16"/>
    </row>
    <row r="19" spans="1:7" x14ac:dyDescent="0.3">
      <c r="A19" s="31" t="s">
        <v>198</v>
      </c>
      <c r="B19" s="29"/>
    </row>
    <row r="21" spans="1:7" s="8" customFormat="1" x14ac:dyDescent="0.3">
      <c r="A21" s="10" t="s">
        <v>177</v>
      </c>
      <c r="B21" s="10" t="s">
        <v>193</v>
      </c>
      <c r="C21" s="10" t="s">
        <v>194</v>
      </c>
      <c r="D21" s="10" t="s">
        <v>195</v>
      </c>
      <c r="E21" s="10" t="s">
        <v>196</v>
      </c>
      <c r="F21" s="10" t="s">
        <v>197</v>
      </c>
    </row>
    <row r="22" spans="1:7" x14ac:dyDescent="0.3">
      <c r="A22" s="4" t="s">
        <v>176</v>
      </c>
      <c r="B22" s="16">
        <v>3364</v>
      </c>
      <c r="C22" s="16">
        <v>45.03</v>
      </c>
      <c r="D22" s="16">
        <v>16.82</v>
      </c>
      <c r="E22" s="16">
        <v>15.45</v>
      </c>
      <c r="F22" s="16">
        <v>91.84</v>
      </c>
    </row>
    <row r="23" spans="1:7" x14ac:dyDescent="0.3">
      <c r="A23" s="4" t="s">
        <v>175</v>
      </c>
      <c r="B23" s="16">
        <v>24888</v>
      </c>
      <c r="C23" s="16">
        <v>322.56</v>
      </c>
      <c r="D23" s="16">
        <v>354.88</v>
      </c>
      <c r="E23" s="16">
        <v>250.12</v>
      </c>
      <c r="F23" s="16">
        <v>70.48</v>
      </c>
    </row>
    <row r="24" spans="1:7" x14ac:dyDescent="0.3">
      <c r="A24" s="4" t="s">
        <v>174</v>
      </c>
      <c r="B24" s="16">
        <v>48917</v>
      </c>
      <c r="C24" s="16">
        <v>629.09</v>
      </c>
      <c r="D24" s="16">
        <v>1108.28</v>
      </c>
      <c r="E24" s="16">
        <v>610.16999999999996</v>
      </c>
      <c r="F24" s="16">
        <v>55.06</v>
      </c>
    </row>
    <row r="25" spans="1:7" x14ac:dyDescent="0.3">
      <c r="A25" s="4" t="s">
        <v>173</v>
      </c>
      <c r="B25" s="16">
        <v>3573</v>
      </c>
      <c r="C25" s="16">
        <v>45.85</v>
      </c>
      <c r="D25" s="16">
        <v>89.32</v>
      </c>
      <c r="E25" s="16">
        <v>45.85</v>
      </c>
      <c r="F25" s="16">
        <v>51.33</v>
      </c>
    </row>
    <row r="28" spans="1:7" x14ac:dyDescent="0.3">
      <c r="A28" s="29" t="s">
        <v>217</v>
      </c>
      <c r="B28" s="29"/>
    </row>
    <row r="30" spans="1:7" x14ac:dyDescent="0.3">
      <c r="A30" s="38" t="s">
        <v>211</v>
      </c>
      <c r="B30" s="39"/>
      <c r="C30" s="10" t="s">
        <v>212</v>
      </c>
      <c r="D30" s="10" t="s">
        <v>213</v>
      </c>
      <c r="E30" s="10" t="s">
        <v>214</v>
      </c>
      <c r="F30" s="10" t="s">
        <v>215</v>
      </c>
      <c r="G30" s="10" t="s">
        <v>216</v>
      </c>
    </row>
    <row r="31" spans="1:7" x14ac:dyDescent="0.3">
      <c r="A31" s="37" t="s">
        <v>204</v>
      </c>
      <c r="B31" s="37"/>
      <c r="C31" s="16">
        <v>24</v>
      </c>
      <c r="D31" s="15">
        <v>18.46</v>
      </c>
      <c r="E31" s="15">
        <v>430.3</v>
      </c>
      <c r="F31" s="16">
        <v>0</v>
      </c>
      <c r="G31" s="24">
        <v>5.79</v>
      </c>
    </row>
    <row r="32" spans="1:7" x14ac:dyDescent="0.3">
      <c r="A32" s="37" t="s">
        <v>205</v>
      </c>
      <c r="B32" s="37"/>
      <c r="C32" s="16">
        <v>23</v>
      </c>
      <c r="D32" s="15">
        <v>17.690000000000001</v>
      </c>
      <c r="E32" s="15">
        <v>428.6</v>
      </c>
      <c r="F32" s="16">
        <v>0</v>
      </c>
      <c r="G32" s="24">
        <v>5.33</v>
      </c>
    </row>
    <row r="33" spans="1:14" x14ac:dyDescent="0.3">
      <c r="A33" s="37" t="s">
        <v>206</v>
      </c>
      <c r="B33" s="37"/>
      <c r="C33" s="16">
        <v>20</v>
      </c>
      <c r="D33" s="15">
        <v>15.38</v>
      </c>
      <c r="E33" s="15">
        <v>431.9</v>
      </c>
      <c r="F33" s="16">
        <v>0</v>
      </c>
      <c r="G33" s="24">
        <v>5.92</v>
      </c>
    </row>
    <row r="34" spans="1:14" x14ac:dyDescent="0.3">
      <c r="A34" s="37" t="s">
        <v>207</v>
      </c>
      <c r="B34" s="37"/>
      <c r="C34" s="16">
        <v>19</v>
      </c>
      <c r="D34" s="15">
        <v>14.62</v>
      </c>
      <c r="E34" s="15">
        <v>433.6</v>
      </c>
      <c r="F34" s="16">
        <v>0</v>
      </c>
      <c r="G34" s="24">
        <v>45.91</v>
      </c>
    </row>
    <row r="35" spans="1:14" x14ac:dyDescent="0.3">
      <c r="A35" s="37" t="s">
        <v>208</v>
      </c>
      <c r="B35" s="37"/>
      <c r="C35" s="16">
        <v>16</v>
      </c>
      <c r="D35" s="15">
        <v>12.31</v>
      </c>
      <c r="E35" s="15">
        <v>432.6</v>
      </c>
      <c r="F35" s="15">
        <v>29635.31</v>
      </c>
      <c r="G35" s="24">
        <v>6.86</v>
      </c>
    </row>
    <row r="36" spans="1:14" x14ac:dyDescent="0.3">
      <c r="A36" s="37" t="s">
        <v>209</v>
      </c>
      <c r="B36" s="37"/>
      <c r="C36" s="16">
        <v>15</v>
      </c>
      <c r="D36" s="15">
        <v>11.54</v>
      </c>
      <c r="E36" s="15">
        <v>435</v>
      </c>
      <c r="F36" s="16">
        <v>0</v>
      </c>
      <c r="G36" s="24">
        <v>6.63</v>
      </c>
    </row>
    <row r="37" spans="1:14" x14ac:dyDescent="0.3">
      <c r="A37" s="37" t="s">
        <v>210</v>
      </c>
      <c r="B37" s="37"/>
      <c r="C37" s="16">
        <v>13</v>
      </c>
      <c r="D37" s="15">
        <v>10</v>
      </c>
      <c r="E37" s="15">
        <v>438.8</v>
      </c>
      <c r="F37" s="16">
        <v>0</v>
      </c>
      <c r="G37" s="24">
        <v>5.86</v>
      </c>
    </row>
    <row r="40" spans="1:14" x14ac:dyDescent="0.3">
      <c r="A40" s="29" t="s">
        <v>244</v>
      </c>
      <c r="B40" s="29"/>
    </row>
    <row r="42" spans="1:14" x14ac:dyDescent="0.3">
      <c r="A42" s="10" t="s">
        <v>238</v>
      </c>
      <c r="B42" s="10" t="s">
        <v>239</v>
      </c>
      <c r="C42" s="10" t="s">
        <v>240</v>
      </c>
      <c r="D42" s="10" t="s">
        <v>241</v>
      </c>
      <c r="E42" s="10" t="s">
        <v>242</v>
      </c>
      <c r="F42" s="10" t="s">
        <v>243</v>
      </c>
      <c r="H42" s="5"/>
      <c r="I42" s="5"/>
      <c r="J42" s="5"/>
      <c r="K42" s="5"/>
      <c r="L42" s="5"/>
      <c r="M42" s="5"/>
      <c r="N42" s="5"/>
    </row>
    <row r="43" spans="1:14" x14ac:dyDescent="0.3">
      <c r="A43" s="16">
        <v>115275</v>
      </c>
      <c r="B43" s="16">
        <v>80742</v>
      </c>
      <c r="C43" s="16">
        <v>921.6</v>
      </c>
      <c r="D43" s="16">
        <v>0</v>
      </c>
      <c r="E43" s="16">
        <v>0</v>
      </c>
      <c r="F43" s="16">
        <v>921.6</v>
      </c>
    </row>
    <row r="46" spans="1:14" x14ac:dyDescent="0.3">
      <c r="A46" s="29" t="s">
        <v>245</v>
      </c>
      <c r="B46" s="29"/>
      <c r="C46" s="29"/>
    </row>
    <row r="48" spans="1:14" x14ac:dyDescent="0.3">
      <c r="A48" s="10" t="s">
        <v>252</v>
      </c>
      <c r="B48" s="10" t="s">
        <v>253</v>
      </c>
      <c r="C48" s="10" t="s">
        <v>178</v>
      </c>
      <c r="D48" s="10" t="s">
        <v>179</v>
      </c>
      <c r="E48" s="10" t="s">
        <v>254</v>
      </c>
      <c r="F48" s="10" t="s">
        <v>255</v>
      </c>
      <c r="G48" s="10" t="s">
        <v>256</v>
      </c>
      <c r="H48" s="10" t="s">
        <v>257</v>
      </c>
    </row>
    <row r="49" spans="1:8" x14ac:dyDescent="0.3">
      <c r="A49" s="4" t="s">
        <v>19</v>
      </c>
      <c r="B49" s="16">
        <v>17912</v>
      </c>
      <c r="C49" s="16">
        <v>20694</v>
      </c>
      <c r="D49" s="16">
        <v>14373</v>
      </c>
      <c r="E49" s="16">
        <v>69.45</v>
      </c>
      <c r="F49" s="16">
        <v>163.79</v>
      </c>
      <c r="G49" s="16">
        <v>409.48</v>
      </c>
      <c r="H49" s="16">
        <v>679.1</v>
      </c>
    </row>
    <row r="50" spans="1:8" x14ac:dyDescent="0.3">
      <c r="A50" s="4" t="s">
        <v>15</v>
      </c>
      <c r="B50" s="16">
        <v>14057</v>
      </c>
      <c r="C50" s="16">
        <v>16178</v>
      </c>
      <c r="D50" s="16">
        <v>11303</v>
      </c>
      <c r="E50" s="16">
        <v>69.87</v>
      </c>
      <c r="F50" s="16">
        <v>129.59</v>
      </c>
      <c r="G50" s="16">
        <v>323.97000000000003</v>
      </c>
      <c r="H50" s="16">
        <v>680.3</v>
      </c>
    </row>
    <row r="51" spans="1:8" x14ac:dyDescent="0.3">
      <c r="A51" s="4" t="s">
        <v>20</v>
      </c>
      <c r="B51" s="16">
        <v>11895</v>
      </c>
      <c r="C51" s="16">
        <v>13723</v>
      </c>
      <c r="D51" s="16">
        <v>9592</v>
      </c>
      <c r="E51" s="16">
        <v>69.900000000000006</v>
      </c>
      <c r="F51" s="16">
        <v>109.32</v>
      </c>
      <c r="G51" s="16">
        <v>273.31</v>
      </c>
      <c r="H51" s="16">
        <v>679.5</v>
      </c>
    </row>
    <row r="52" spans="1:8" x14ac:dyDescent="0.3">
      <c r="A52" s="4" t="s">
        <v>25</v>
      </c>
      <c r="B52" s="16">
        <v>10068</v>
      </c>
      <c r="C52" s="16">
        <v>11621</v>
      </c>
      <c r="D52" s="16">
        <v>8139</v>
      </c>
      <c r="E52" s="16">
        <v>70.040000000000006</v>
      </c>
      <c r="F52" s="16">
        <v>93.51</v>
      </c>
      <c r="G52" s="16">
        <v>233.77</v>
      </c>
      <c r="H52" s="16">
        <v>679.5</v>
      </c>
    </row>
    <row r="53" spans="1:8" x14ac:dyDescent="0.3">
      <c r="A53" s="4" t="s">
        <v>16</v>
      </c>
      <c r="B53" s="16">
        <v>8935</v>
      </c>
      <c r="C53" s="16">
        <v>10238</v>
      </c>
      <c r="D53" s="16">
        <v>7186</v>
      </c>
      <c r="E53" s="16">
        <v>70.19</v>
      </c>
      <c r="F53" s="16">
        <v>82.6</v>
      </c>
      <c r="G53" s="16">
        <v>206.51</v>
      </c>
      <c r="H53" s="16">
        <v>678.1</v>
      </c>
    </row>
    <row r="54" spans="1:8" x14ac:dyDescent="0.3">
      <c r="A54" s="4" t="s">
        <v>17</v>
      </c>
      <c r="B54" s="16">
        <v>8033</v>
      </c>
      <c r="C54" s="16">
        <v>9244</v>
      </c>
      <c r="D54" s="16">
        <v>6515</v>
      </c>
      <c r="E54" s="16">
        <v>70.48</v>
      </c>
      <c r="F54" s="16">
        <v>74.180000000000007</v>
      </c>
      <c r="G54" s="16">
        <v>185.46</v>
      </c>
      <c r="H54" s="16">
        <v>679.4</v>
      </c>
    </row>
    <row r="55" spans="1:8" x14ac:dyDescent="0.3">
      <c r="A55" s="4" t="s">
        <v>18</v>
      </c>
      <c r="B55" s="16">
        <v>6998</v>
      </c>
      <c r="C55" s="16">
        <v>8031</v>
      </c>
      <c r="D55" s="16">
        <v>5675</v>
      </c>
      <c r="E55" s="16">
        <v>70.66</v>
      </c>
      <c r="F55" s="16">
        <v>64.63</v>
      </c>
      <c r="G55" s="16">
        <v>161.58000000000001</v>
      </c>
      <c r="H55" s="16">
        <v>679.8</v>
      </c>
    </row>
    <row r="56" spans="1:8" x14ac:dyDescent="0.3">
      <c r="A56" s="4" t="s">
        <v>24</v>
      </c>
      <c r="B56" s="16">
        <v>5915</v>
      </c>
      <c r="C56" s="16">
        <v>6869</v>
      </c>
      <c r="D56" s="16">
        <v>4824</v>
      </c>
      <c r="E56" s="16">
        <v>70.23</v>
      </c>
      <c r="F56" s="16">
        <v>55.15</v>
      </c>
      <c r="G56" s="16">
        <v>137.88999999999999</v>
      </c>
      <c r="H56" s="16">
        <v>680.4</v>
      </c>
    </row>
    <row r="57" spans="1:8" x14ac:dyDescent="0.3">
      <c r="A57" s="4" t="s">
        <v>21</v>
      </c>
      <c r="B57" s="16">
        <v>5076</v>
      </c>
      <c r="C57" s="16">
        <v>5815</v>
      </c>
      <c r="D57" s="16">
        <v>4157</v>
      </c>
      <c r="E57" s="16">
        <v>71.489999999999995</v>
      </c>
      <c r="F57" s="16">
        <v>47.4</v>
      </c>
      <c r="G57" s="16">
        <v>118.51</v>
      </c>
      <c r="H57" s="16">
        <v>678.7</v>
      </c>
    </row>
    <row r="58" spans="1:8" x14ac:dyDescent="0.3">
      <c r="A58" s="4" t="s">
        <v>23</v>
      </c>
      <c r="B58" s="16">
        <v>4088</v>
      </c>
      <c r="C58" s="16">
        <v>4748</v>
      </c>
      <c r="D58" s="16">
        <v>3285</v>
      </c>
      <c r="E58" s="16">
        <v>69.19</v>
      </c>
      <c r="F58" s="16">
        <v>37.53</v>
      </c>
      <c r="G58" s="16">
        <v>93.82</v>
      </c>
      <c r="H58" s="16">
        <v>678.5</v>
      </c>
    </row>
    <row r="61" spans="1:8" x14ac:dyDescent="0.3">
      <c r="A61" s="29" t="s">
        <v>258</v>
      </c>
      <c r="B61" s="29"/>
      <c r="C61" s="29"/>
    </row>
    <row r="63" spans="1:8" x14ac:dyDescent="0.3">
      <c r="A63" s="10" t="s">
        <v>265</v>
      </c>
      <c r="B63" s="21" t="s">
        <v>266</v>
      </c>
      <c r="C63" s="21" t="s">
        <v>268</v>
      </c>
      <c r="D63" s="21" t="s">
        <v>269</v>
      </c>
      <c r="E63" s="21" t="s">
        <v>254</v>
      </c>
      <c r="F63" s="21" t="s">
        <v>267</v>
      </c>
      <c r="G63" s="21" t="s">
        <v>182</v>
      </c>
    </row>
    <row r="64" spans="1:8" x14ac:dyDescent="0.3">
      <c r="A64" s="4" t="s">
        <v>259</v>
      </c>
      <c r="B64" s="16">
        <v>17101</v>
      </c>
      <c r="C64" s="16">
        <v>19734</v>
      </c>
      <c r="D64" s="16">
        <v>13820</v>
      </c>
      <c r="E64" s="16">
        <v>70.03</v>
      </c>
      <c r="F64" s="16">
        <v>153.9</v>
      </c>
      <c r="G64" s="16">
        <v>384.76</v>
      </c>
    </row>
    <row r="65" spans="1:7" ht="28.8" x14ac:dyDescent="0.3">
      <c r="A65" s="4" t="s">
        <v>260</v>
      </c>
      <c r="B65" s="16">
        <v>50049</v>
      </c>
      <c r="C65" s="16">
        <v>57681</v>
      </c>
      <c r="D65" s="16">
        <v>40316</v>
      </c>
      <c r="E65" s="16">
        <v>69.89</v>
      </c>
      <c r="F65" s="16">
        <v>458.19</v>
      </c>
      <c r="G65" s="16">
        <v>1145.47</v>
      </c>
    </row>
    <row r="66" spans="1:7" ht="28.8" x14ac:dyDescent="0.3">
      <c r="A66" s="4" t="s">
        <v>261</v>
      </c>
      <c r="B66" s="16">
        <v>22366</v>
      </c>
      <c r="C66" s="16">
        <v>25818</v>
      </c>
      <c r="D66" s="16">
        <v>18149</v>
      </c>
      <c r="E66" s="16">
        <v>70.3</v>
      </c>
      <c r="F66" s="16">
        <v>211.42</v>
      </c>
      <c r="G66" s="16">
        <v>528.55999999999995</v>
      </c>
    </row>
    <row r="67" spans="1:7" ht="28.8" x14ac:dyDescent="0.3">
      <c r="A67" s="4" t="s">
        <v>262</v>
      </c>
      <c r="B67" s="16">
        <v>7105</v>
      </c>
      <c r="C67" s="16">
        <v>8172</v>
      </c>
      <c r="D67" s="16">
        <v>5745</v>
      </c>
      <c r="E67" s="16">
        <v>70.3</v>
      </c>
      <c r="F67" s="16">
        <v>66.48</v>
      </c>
      <c r="G67" s="16">
        <v>166.2</v>
      </c>
    </row>
    <row r="68" spans="1:7" ht="28.8" x14ac:dyDescent="0.3">
      <c r="A68" s="4" t="s">
        <v>263</v>
      </c>
      <c r="B68" s="16">
        <v>2969</v>
      </c>
      <c r="C68" s="16">
        <v>3395</v>
      </c>
      <c r="D68" s="16">
        <v>2382</v>
      </c>
      <c r="E68" s="16">
        <v>70.16</v>
      </c>
      <c r="F68" s="16">
        <v>27.78</v>
      </c>
      <c r="G68" s="16">
        <v>69.45</v>
      </c>
    </row>
    <row r="69" spans="1:7" x14ac:dyDescent="0.3">
      <c r="A69" s="4" t="s">
        <v>264</v>
      </c>
      <c r="B69" s="16">
        <v>410</v>
      </c>
      <c r="C69" s="16">
        <v>475</v>
      </c>
      <c r="D69" s="16">
        <v>330</v>
      </c>
      <c r="E69" s="16">
        <v>69.47</v>
      </c>
      <c r="F69" s="16">
        <v>3.82</v>
      </c>
      <c r="G69" s="16">
        <v>9.5500000000000007</v>
      </c>
    </row>
    <row r="72" spans="1:7" x14ac:dyDescent="0.3">
      <c r="A72" s="29" t="s">
        <v>270</v>
      </c>
      <c r="B72" s="29"/>
      <c r="C72" s="29"/>
    </row>
    <row r="74" spans="1:7" x14ac:dyDescent="0.3">
      <c r="A74" s="10" t="s">
        <v>281</v>
      </c>
      <c r="B74" s="21" t="s">
        <v>282</v>
      </c>
      <c r="C74" s="21" t="s">
        <v>283</v>
      </c>
      <c r="D74" s="21" t="s">
        <v>284</v>
      </c>
      <c r="E74" s="21" t="s">
        <v>285</v>
      </c>
      <c r="F74" s="36" t="s">
        <v>286</v>
      </c>
    </row>
    <row r="75" spans="1:7" x14ac:dyDescent="0.3">
      <c r="A75" s="4" t="s">
        <v>271</v>
      </c>
      <c r="B75" s="16">
        <v>513264</v>
      </c>
      <c r="C75" s="16">
        <v>85.87</v>
      </c>
      <c r="D75" s="16">
        <v>51711.31</v>
      </c>
      <c r="E75" s="16">
        <v>51711.31</v>
      </c>
      <c r="F75" s="16">
        <v>0</v>
      </c>
    </row>
    <row r="76" spans="1:7" x14ac:dyDescent="0.3">
      <c r="A76" s="4" t="s">
        <v>272</v>
      </c>
      <c r="B76" s="16">
        <v>60802</v>
      </c>
      <c r="C76" s="16">
        <v>10.17</v>
      </c>
      <c r="D76" s="16">
        <v>6033.27</v>
      </c>
      <c r="E76" s="16">
        <v>6033.27</v>
      </c>
      <c r="F76" s="16">
        <v>0</v>
      </c>
    </row>
    <row r="77" spans="1:7" x14ac:dyDescent="0.3">
      <c r="A77" s="4" t="s">
        <v>273</v>
      </c>
      <c r="B77" s="16">
        <v>4213</v>
      </c>
      <c r="C77" s="16">
        <v>0.7</v>
      </c>
      <c r="D77" s="16">
        <v>368.16</v>
      </c>
      <c r="E77" s="16">
        <v>368.16</v>
      </c>
      <c r="F77" s="16">
        <v>0</v>
      </c>
    </row>
    <row r="78" spans="1:7" x14ac:dyDescent="0.3">
      <c r="A78" s="4" t="s">
        <v>274</v>
      </c>
      <c r="B78" s="16">
        <v>4170</v>
      </c>
      <c r="C78" s="16">
        <v>0.7</v>
      </c>
      <c r="D78" s="16">
        <v>362.1</v>
      </c>
      <c r="E78" s="16">
        <v>362.1</v>
      </c>
      <c r="F78" s="16">
        <v>0</v>
      </c>
    </row>
    <row r="79" spans="1:7" x14ac:dyDescent="0.3">
      <c r="A79" s="4" t="s">
        <v>275</v>
      </c>
      <c r="B79" s="16">
        <v>4198</v>
      </c>
      <c r="C79" s="16">
        <v>0.7</v>
      </c>
      <c r="D79" s="16">
        <v>367.47</v>
      </c>
      <c r="E79" s="16">
        <v>367.47</v>
      </c>
      <c r="F79" s="16">
        <v>0</v>
      </c>
    </row>
    <row r="80" spans="1:7" x14ac:dyDescent="0.3">
      <c r="A80" s="4" t="s">
        <v>276</v>
      </c>
      <c r="B80" s="16">
        <v>2747</v>
      </c>
      <c r="C80" s="16">
        <v>0.46</v>
      </c>
      <c r="D80" s="16">
        <v>235.53</v>
      </c>
      <c r="E80" s="16">
        <v>235.53</v>
      </c>
      <c r="F80" s="16">
        <v>0</v>
      </c>
    </row>
    <row r="81" spans="1:6" x14ac:dyDescent="0.3">
      <c r="A81" s="4" t="s">
        <v>277</v>
      </c>
      <c r="B81" s="16">
        <v>2801</v>
      </c>
      <c r="C81" s="16">
        <v>0.47</v>
      </c>
      <c r="D81" s="16">
        <v>246.38</v>
      </c>
      <c r="E81" s="16">
        <v>0</v>
      </c>
      <c r="F81" s="16">
        <v>246.38</v>
      </c>
    </row>
    <row r="82" spans="1:6" x14ac:dyDescent="0.3">
      <c r="A82" s="4" t="s">
        <v>278</v>
      </c>
      <c r="B82" s="16">
        <v>2245</v>
      </c>
      <c r="C82" s="16">
        <v>0.38</v>
      </c>
      <c r="D82" s="16">
        <v>191.29</v>
      </c>
      <c r="E82" s="16">
        <v>0</v>
      </c>
      <c r="F82" s="16">
        <v>191.29</v>
      </c>
    </row>
    <row r="83" spans="1:6" x14ac:dyDescent="0.3">
      <c r="A83" s="4" t="s">
        <v>279</v>
      </c>
      <c r="B83" s="16">
        <v>1949</v>
      </c>
      <c r="C83" s="16">
        <v>0.33</v>
      </c>
      <c r="D83" s="16">
        <v>164.03</v>
      </c>
      <c r="E83" s="16">
        <v>0</v>
      </c>
      <c r="F83" s="16">
        <v>164.03</v>
      </c>
    </row>
    <row r="84" spans="1:6" x14ac:dyDescent="0.3">
      <c r="A84" s="4" t="s">
        <v>280</v>
      </c>
      <c r="B84" s="16">
        <v>1342</v>
      </c>
      <c r="C84" s="16">
        <v>0.22</v>
      </c>
      <c r="D84" s="16">
        <v>113.21</v>
      </c>
      <c r="E84" s="16">
        <v>0</v>
      </c>
      <c r="F84" s="16">
        <v>113.21</v>
      </c>
    </row>
    <row r="87" spans="1:6" x14ac:dyDescent="0.3">
      <c r="A87" s="29" t="s">
        <v>287</v>
      </c>
      <c r="B87" s="29"/>
      <c r="C87" s="29"/>
    </row>
    <row r="89" spans="1:6" x14ac:dyDescent="0.3">
      <c r="A89" s="10" t="s">
        <v>177</v>
      </c>
      <c r="B89" s="21" t="s">
        <v>193</v>
      </c>
      <c r="C89" s="21" t="s">
        <v>288</v>
      </c>
      <c r="D89" s="21" t="s">
        <v>289</v>
      </c>
      <c r="E89" s="21" t="s">
        <v>290</v>
      </c>
    </row>
    <row r="90" spans="1:6" x14ac:dyDescent="0.3">
      <c r="A90" s="4" t="s">
        <v>173</v>
      </c>
      <c r="B90" s="16">
        <v>3573</v>
      </c>
      <c r="C90" s="16">
        <v>45.85</v>
      </c>
      <c r="D90" s="16">
        <v>9.57</v>
      </c>
      <c r="E90" s="16">
        <v>0.21</v>
      </c>
    </row>
    <row r="91" spans="1:6" x14ac:dyDescent="0.3">
      <c r="A91" s="4" t="s">
        <v>174</v>
      </c>
      <c r="B91" s="16">
        <v>48917</v>
      </c>
      <c r="C91" s="16">
        <v>610.16999999999996</v>
      </c>
      <c r="D91" s="16">
        <v>330.59</v>
      </c>
      <c r="E91" s="16">
        <v>0.54</v>
      </c>
    </row>
    <row r="92" spans="1:6" x14ac:dyDescent="0.3">
      <c r="A92" s="4" t="s">
        <v>175</v>
      </c>
      <c r="B92" s="16">
        <v>24888</v>
      </c>
      <c r="C92" s="16">
        <v>250.12</v>
      </c>
      <c r="D92" s="16">
        <v>330.51</v>
      </c>
      <c r="E92" s="16">
        <v>1.32</v>
      </c>
    </row>
    <row r="93" spans="1:6" x14ac:dyDescent="0.3">
      <c r="A93" s="4" t="s">
        <v>176</v>
      </c>
      <c r="B93" s="16">
        <v>3364</v>
      </c>
      <c r="C93" s="16">
        <v>15.45</v>
      </c>
      <c r="D93" s="16">
        <v>44.25</v>
      </c>
      <c r="E93" s="16">
        <v>2.86</v>
      </c>
    </row>
    <row r="96" spans="1:6" x14ac:dyDescent="0.3">
      <c r="A96" s="29" t="s">
        <v>395</v>
      </c>
      <c r="B96" s="29"/>
      <c r="C96" s="29"/>
    </row>
    <row r="98" spans="1:5" x14ac:dyDescent="0.3">
      <c r="A98" s="10" t="s">
        <v>252</v>
      </c>
      <c r="B98" s="10" t="s">
        <v>406</v>
      </c>
      <c r="C98" s="21" t="s">
        <v>407</v>
      </c>
      <c r="D98" s="21" t="s">
        <v>408</v>
      </c>
      <c r="E98" s="21" t="s">
        <v>409</v>
      </c>
    </row>
    <row r="99" spans="1:5" x14ac:dyDescent="0.3">
      <c r="A99" s="4" t="s">
        <v>19</v>
      </c>
      <c r="B99" s="4" t="s">
        <v>396</v>
      </c>
      <c r="C99" s="16">
        <v>80</v>
      </c>
      <c r="D99" s="16">
        <v>111.4</v>
      </c>
      <c r="E99" s="16">
        <v>1</v>
      </c>
    </row>
    <row r="100" spans="1:5" x14ac:dyDescent="0.3">
      <c r="A100" s="4" t="s">
        <v>19</v>
      </c>
      <c r="B100" s="4" t="s">
        <v>397</v>
      </c>
      <c r="C100" s="16">
        <v>73</v>
      </c>
      <c r="D100" s="16">
        <v>101.3</v>
      </c>
      <c r="E100" s="16">
        <v>2</v>
      </c>
    </row>
    <row r="101" spans="1:5" x14ac:dyDescent="0.3">
      <c r="A101" s="4" t="s">
        <v>19</v>
      </c>
      <c r="B101" s="4" t="s">
        <v>398</v>
      </c>
      <c r="C101" s="16">
        <v>66</v>
      </c>
      <c r="D101" s="16">
        <v>102.6</v>
      </c>
      <c r="E101" s="16">
        <v>3</v>
      </c>
    </row>
    <row r="102" spans="1:5" x14ac:dyDescent="0.3">
      <c r="A102" s="4" t="s">
        <v>19</v>
      </c>
      <c r="B102" s="4" t="s">
        <v>399</v>
      </c>
      <c r="C102" s="16">
        <v>65</v>
      </c>
      <c r="D102" s="16">
        <v>99.7</v>
      </c>
      <c r="E102" s="16">
        <v>4</v>
      </c>
    </row>
    <row r="103" spans="1:5" x14ac:dyDescent="0.3">
      <c r="A103" s="4" t="s">
        <v>19</v>
      </c>
      <c r="B103" s="4" t="s">
        <v>400</v>
      </c>
      <c r="C103" s="16">
        <v>64</v>
      </c>
      <c r="D103" s="16">
        <v>103.9</v>
      </c>
      <c r="E103" s="16">
        <v>5</v>
      </c>
    </row>
    <row r="104" spans="1:5" x14ac:dyDescent="0.3">
      <c r="A104" s="4" t="s">
        <v>15</v>
      </c>
      <c r="B104" s="4" t="s">
        <v>401</v>
      </c>
      <c r="C104" s="16">
        <v>62</v>
      </c>
      <c r="D104" s="16">
        <v>107.4</v>
      </c>
      <c r="E104" s="16">
        <v>6</v>
      </c>
    </row>
    <row r="105" spans="1:5" x14ac:dyDescent="0.3">
      <c r="A105" s="4" t="s">
        <v>19</v>
      </c>
      <c r="B105" s="4" t="s">
        <v>401</v>
      </c>
      <c r="C105" s="16">
        <v>61</v>
      </c>
      <c r="D105" s="16">
        <v>96.5</v>
      </c>
      <c r="E105" s="16">
        <v>7</v>
      </c>
    </row>
    <row r="106" spans="1:5" x14ac:dyDescent="0.3">
      <c r="A106" s="4" t="s">
        <v>19</v>
      </c>
      <c r="B106" s="4" t="s">
        <v>402</v>
      </c>
      <c r="C106" s="16">
        <v>61</v>
      </c>
      <c r="D106" s="16">
        <v>109.2</v>
      </c>
      <c r="E106" s="16">
        <v>7</v>
      </c>
    </row>
    <row r="107" spans="1:5" x14ac:dyDescent="0.3">
      <c r="A107" s="4" t="s">
        <v>15</v>
      </c>
      <c r="B107" s="4" t="s">
        <v>399</v>
      </c>
      <c r="C107" s="16">
        <v>60</v>
      </c>
      <c r="D107" s="16">
        <v>104.3</v>
      </c>
      <c r="E107" s="16">
        <v>8</v>
      </c>
    </row>
    <row r="108" spans="1:5" x14ac:dyDescent="0.3">
      <c r="A108" s="4" t="s">
        <v>15</v>
      </c>
      <c r="B108" s="4" t="s">
        <v>403</v>
      </c>
      <c r="C108" s="16">
        <v>59</v>
      </c>
      <c r="D108" s="16">
        <v>113</v>
      </c>
      <c r="E108" s="16">
        <v>9</v>
      </c>
    </row>
    <row r="109" spans="1:5" x14ac:dyDescent="0.3">
      <c r="A109" s="4" t="s">
        <v>15</v>
      </c>
      <c r="B109" s="4" t="s">
        <v>404</v>
      </c>
      <c r="C109" s="16">
        <v>59</v>
      </c>
      <c r="D109" s="16">
        <v>106.4</v>
      </c>
      <c r="E109" s="16">
        <v>9</v>
      </c>
    </row>
    <row r="110" spans="1:5" x14ac:dyDescent="0.3">
      <c r="A110" s="4" t="s">
        <v>15</v>
      </c>
      <c r="B110" s="4" t="s">
        <v>405</v>
      </c>
      <c r="C110" s="16">
        <v>58</v>
      </c>
      <c r="D110" s="16">
        <v>99.8</v>
      </c>
      <c r="E110" s="16">
        <v>10</v>
      </c>
    </row>
    <row r="111" spans="1:5" x14ac:dyDescent="0.3">
      <c r="A111" s="4" t="s">
        <v>19</v>
      </c>
      <c r="B111" s="4" t="s">
        <v>404</v>
      </c>
      <c r="C111" s="16">
        <v>57</v>
      </c>
      <c r="D111" s="16">
        <v>96.9</v>
      </c>
      <c r="E111" s="16">
        <v>11</v>
      </c>
    </row>
    <row r="112" spans="1:5" x14ac:dyDescent="0.3">
      <c r="A112" s="4" t="s">
        <v>15</v>
      </c>
      <c r="B112" s="4" t="s">
        <v>396</v>
      </c>
      <c r="C112" s="16">
        <v>56</v>
      </c>
      <c r="D112" s="16">
        <v>95.6</v>
      </c>
      <c r="E112" s="16">
        <v>12</v>
      </c>
    </row>
    <row r="113" spans="1:9" x14ac:dyDescent="0.3">
      <c r="A113" s="4" t="s">
        <v>15</v>
      </c>
      <c r="B113" s="4" t="s">
        <v>402</v>
      </c>
      <c r="C113" s="16">
        <v>56</v>
      </c>
      <c r="D113" s="16">
        <v>112.7</v>
      </c>
      <c r="E113" s="16">
        <v>12</v>
      </c>
    </row>
    <row r="116" spans="1:9" x14ac:dyDescent="0.3">
      <c r="A116" s="29" t="s">
        <v>456</v>
      </c>
      <c r="B116" s="29"/>
      <c r="C116" s="29"/>
    </row>
    <row r="118" spans="1:9" x14ac:dyDescent="0.3">
      <c r="A118" s="21" t="s">
        <v>449</v>
      </c>
      <c r="B118" s="21" t="s">
        <v>450</v>
      </c>
      <c r="C118" s="21" t="s">
        <v>451</v>
      </c>
      <c r="D118" s="21" t="s">
        <v>452</v>
      </c>
      <c r="E118" s="21" t="s">
        <v>453</v>
      </c>
      <c r="F118" s="21" t="s">
        <v>420</v>
      </c>
      <c r="G118" s="21" t="s">
        <v>421</v>
      </c>
      <c r="H118" s="21" t="s">
        <v>454</v>
      </c>
      <c r="I118" s="21" t="s">
        <v>455</v>
      </c>
    </row>
    <row r="119" spans="1:9" x14ac:dyDescent="0.3">
      <c r="A119" s="16">
        <v>195351</v>
      </c>
      <c r="B119" s="16">
        <v>695</v>
      </c>
      <c r="C119" s="16">
        <v>1</v>
      </c>
      <c r="D119" s="16">
        <v>0</v>
      </c>
      <c r="E119" s="16">
        <v>5</v>
      </c>
      <c r="F119" s="16">
        <v>5</v>
      </c>
      <c r="G119" s="16">
        <v>5</v>
      </c>
      <c r="H119" s="16">
        <v>15</v>
      </c>
      <c r="I119" s="16" t="s">
        <v>448</v>
      </c>
    </row>
    <row r="120" spans="1:9" x14ac:dyDescent="0.3">
      <c r="A120" s="16">
        <v>198850</v>
      </c>
      <c r="B120" s="16">
        <v>695</v>
      </c>
      <c r="C120" s="16">
        <v>1</v>
      </c>
      <c r="D120" s="16">
        <v>0</v>
      </c>
      <c r="E120" s="16">
        <v>5</v>
      </c>
      <c r="F120" s="16">
        <v>5</v>
      </c>
      <c r="G120" s="16">
        <v>5</v>
      </c>
      <c r="H120" s="16">
        <v>15</v>
      </c>
      <c r="I120" s="16" t="s">
        <v>448</v>
      </c>
    </row>
    <row r="121" spans="1:9" x14ac:dyDescent="0.3">
      <c r="A121" s="16">
        <v>188082</v>
      </c>
      <c r="B121" s="16">
        <v>695</v>
      </c>
      <c r="C121" s="16">
        <v>1</v>
      </c>
      <c r="D121" s="16">
        <v>0</v>
      </c>
      <c r="E121" s="16">
        <v>5</v>
      </c>
      <c r="F121" s="16">
        <v>5</v>
      </c>
      <c r="G121" s="16">
        <v>5</v>
      </c>
      <c r="H121" s="16">
        <v>15</v>
      </c>
      <c r="I121" s="16" t="s">
        <v>448</v>
      </c>
    </row>
    <row r="122" spans="1:9" x14ac:dyDescent="0.3">
      <c r="A122" s="16">
        <v>189799</v>
      </c>
      <c r="B122" s="16">
        <v>695</v>
      </c>
      <c r="C122" s="16">
        <v>1</v>
      </c>
      <c r="D122" s="16">
        <v>0</v>
      </c>
      <c r="E122" s="16">
        <v>5</v>
      </c>
      <c r="F122" s="16">
        <v>5</v>
      </c>
      <c r="G122" s="16">
        <v>5</v>
      </c>
      <c r="H122" s="16">
        <v>15</v>
      </c>
      <c r="I122" s="16" t="s">
        <v>448</v>
      </c>
    </row>
    <row r="123" spans="1:9" x14ac:dyDescent="0.3">
      <c r="A123" s="16">
        <v>193119</v>
      </c>
      <c r="B123" s="16">
        <v>695</v>
      </c>
      <c r="C123" s="16">
        <v>1</v>
      </c>
      <c r="D123" s="16">
        <v>0</v>
      </c>
      <c r="E123" s="16">
        <v>5</v>
      </c>
      <c r="F123" s="16">
        <v>5</v>
      </c>
      <c r="G123" s="16">
        <v>5</v>
      </c>
      <c r="H123" s="16">
        <v>15</v>
      </c>
      <c r="I123" s="16" t="s">
        <v>448</v>
      </c>
    </row>
    <row r="124" spans="1:9" x14ac:dyDescent="0.3">
      <c r="A124" s="16">
        <v>182044</v>
      </c>
      <c r="B124" s="16">
        <v>695</v>
      </c>
      <c r="C124" s="16">
        <v>1</v>
      </c>
      <c r="D124" s="16">
        <v>0</v>
      </c>
      <c r="E124" s="16">
        <v>5</v>
      </c>
      <c r="F124" s="16">
        <v>5</v>
      </c>
      <c r="G124" s="16">
        <v>5</v>
      </c>
      <c r="H124" s="16">
        <v>15</v>
      </c>
      <c r="I124" s="16" t="s">
        <v>448</v>
      </c>
    </row>
    <row r="125" spans="1:9" x14ac:dyDescent="0.3">
      <c r="A125" s="16">
        <v>182882</v>
      </c>
      <c r="B125" s="16">
        <v>695</v>
      </c>
      <c r="C125" s="16">
        <v>1</v>
      </c>
      <c r="D125" s="16">
        <v>0</v>
      </c>
      <c r="E125" s="16">
        <v>5</v>
      </c>
      <c r="F125" s="16">
        <v>5</v>
      </c>
      <c r="G125" s="16">
        <v>5</v>
      </c>
      <c r="H125" s="16">
        <v>15</v>
      </c>
      <c r="I125" s="16" t="s">
        <v>448</v>
      </c>
    </row>
    <row r="126" spans="1:9" x14ac:dyDescent="0.3">
      <c r="A126" s="16">
        <v>183906</v>
      </c>
      <c r="B126" s="16">
        <v>695</v>
      </c>
      <c r="C126" s="16">
        <v>1</v>
      </c>
      <c r="D126" s="16">
        <v>0</v>
      </c>
      <c r="E126" s="16">
        <v>5</v>
      </c>
      <c r="F126" s="16">
        <v>5</v>
      </c>
      <c r="G126" s="16">
        <v>5</v>
      </c>
      <c r="H126" s="16">
        <v>15</v>
      </c>
      <c r="I126" s="16" t="s">
        <v>448</v>
      </c>
    </row>
    <row r="127" spans="1:9" x14ac:dyDescent="0.3">
      <c r="A127" s="16">
        <v>186330</v>
      </c>
      <c r="B127" s="16">
        <v>695</v>
      </c>
      <c r="C127" s="16">
        <v>1</v>
      </c>
      <c r="D127" s="16">
        <v>0</v>
      </c>
      <c r="E127" s="16">
        <v>5</v>
      </c>
      <c r="F127" s="16">
        <v>5</v>
      </c>
      <c r="G127" s="16">
        <v>5</v>
      </c>
      <c r="H127" s="16">
        <v>15</v>
      </c>
      <c r="I127" s="16" t="s">
        <v>448</v>
      </c>
    </row>
    <row r="128" spans="1:9" x14ac:dyDescent="0.3">
      <c r="A128" s="16">
        <v>186835</v>
      </c>
      <c r="B128" s="16">
        <v>695</v>
      </c>
      <c r="C128" s="16">
        <v>1</v>
      </c>
      <c r="D128" s="16">
        <v>0</v>
      </c>
      <c r="E128" s="16">
        <v>5</v>
      </c>
      <c r="F128" s="16">
        <v>5</v>
      </c>
      <c r="G128" s="16">
        <v>5</v>
      </c>
      <c r="H128" s="16">
        <v>15</v>
      </c>
      <c r="I128" s="16" t="s">
        <v>448</v>
      </c>
    </row>
    <row r="129" spans="1:9" x14ac:dyDescent="0.3">
      <c r="A129" s="16">
        <v>187504</v>
      </c>
      <c r="B129" s="16">
        <v>695</v>
      </c>
      <c r="C129" s="16">
        <v>1</v>
      </c>
      <c r="D129" s="16">
        <v>0</v>
      </c>
      <c r="E129" s="16">
        <v>5</v>
      </c>
      <c r="F129" s="16">
        <v>5</v>
      </c>
      <c r="G129" s="16">
        <v>5</v>
      </c>
      <c r="H129" s="16">
        <v>15</v>
      </c>
      <c r="I129" s="16" t="s">
        <v>448</v>
      </c>
    </row>
    <row r="130" spans="1:9" x14ac:dyDescent="0.3">
      <c r="A130" s="16">
        <v>117990</v>
      </c>
      <c r="B130" s="16">
        <v>695</v>
      </c>
      <c r="C130" s="16">
        <v>1</v>
      </c>
      <c r="D130" s="16">
        <v>0</v>
      </c>
      <c r="E130" s="16">
        <v>5</v>
      </c>
      <c r="F130" s="16">
        <v>5</v>
      </c>
      <c r="G130" s="16">
        <v>5</v>
      </c>
      <c r="H130" s="16">
        <v>15</v>
      </c>
      <c r="I130" s="16" t="s">
        <v>448</v>
      </c>
    </row>
    <row r="131" spans="1:9" x14ac:dyDescent="0.3">
      <c r="A131" s="16">
        <v>118638</v>
      </c>
      <c r="B131" s="16">
        <v>695</v>
      </c>
      <c r="C131" s="16">
        <v>1</v>
      </c>
      <c r="D131" s="16">
        <v>0</v>
      </c>
      <c r="E131" s="16">
        <v>5</v>
      </c>
      <c r="F131" s="16">
        <v>5</v>
      </c>
      <c r="G131" s="16">
        <v>5</v>
      </c>
      <c r="H131" s="16">
        <v>15</v>
      </c>
      <c r="I131" s="16" t="s">
        <v>448</v>
      </c>
    </row>
    <row r="132" spans="1:9" x14ac:dyDescent="0.3">
      <c r="A132" s="16">
        <v>121398</v>
      </c>
      <c r="B132" s="16">
        <v>695</v>
      </c>
      <c r="C132" s="16">
        <v>1</v>
      </c>
      <c r="D132" s="16">
        <v>0</v>
      </c>
      <c r="E132" s="16">
        <v>5</v>
      </c>
      <c r="F132" s="16">
        <v>5</v>
      </c>
      <c r="G132" s="16">
        <v>5</v>
      </c>
      <c r="H132" s="16">
        <v>15</v>
      </c>
      <c r="I132" s="16" t="s">
        <v>448</v>
      </c>
    </row>
    <row r="133" spans="1:9" x14ac:dyDescent="0.3">
      <c r="A133" s="16">
        <v>121447</v>
      </c>
      <c r="B133" s="16">
        <v>695</v>
      </c>
      <c r="C133" s="16">
        <v>1</v>
      </c>
      <c r="D133" s="16">
        <v>0</v>
      </c>
      <c r="E133" s="16">
        <v>5</v>
      </c>
      <c r="F133" s="16">
        <v>5</v>
      </c>
      <c r="G133" s="16">
        <v>5</v>
      </c>
      <c r="H133" s="16">
        <v>15</v>
      </c>
      <c r="I133" s="16" t="s">
        <v>448</v>
      </c>
    </row>
    <row r="134" spans="1:9" x14ac:dyDescent="0.3">
      <c r="A134" s="16">
        <v>121809</v>
      </c>
      <c r="B134" s="16">
        <v>695</v>
      </c>
      <c r="C134" s="16">
        <v>1</v>
      </c>
      <c r="D134" s="16">
        <v>0</v>
      </c>
      <c r="E134" s="16">
        <v>5</v>
      </c>
      <c r="F134" s="16">
        <v>5</v>
      </c>
      <c r="G134" s="16">
        <v>5</v>
      </c>
      <c r="H134" s="16">
        <v>15</v>
      </c>
      <c r="I134" s="16" t="s">
        <v>448</v>
      </c>
    </row>
    <row r="135" spans="1:9" x14ac:dyDescent="0.3">
      <c r="A135" s="16">
        <v>122315</v>
      </c>
      <c r="B135" s="16">
        <v>695</v>
      </c>
      <c r="C135" s="16">
        <v>1</v>
      </c>
      <c r="D135" s="16">
        <v>0</v>
      </c>
      <c r="E135" s="16">
        <v>5</v>
      </c>
      <c r="F135" s="16">
        <v>5</v>
      </c>
      <c r="G135" s="16">
        <v>5</v>
      </c>
      <c r="H135" s="16">
        <v>15</v>
      </c>
      <c r="I135" s="16" t="s">
        <v>448</v>
      </c>
    </row>
    <row r="136" spans="1:9" x14ac:dyDescent="0.3">
      <c r="A136" s="16">
        <v>122354</v>
      </c>
      <c r="B136" s="16">
        <v>695</v>
      </c>
      <c r="C136" s="16">
        <v>1</v>
      </c>
      <c r="D136" s="16">
        <v>0</v>
      </c>
      <c r="E136" s="16">
        <v>5</v>
      </c>
      <c r="F136" s="16">
        <v>5</v>
      </c>
      <c r="G136" s="16">
        <v>5</v>
      </c>
      <c r="H136" s="16">
        <v>15</v>
      </c>
      <c r="I136" s="16" t="s">
        <v>448</v>
      </c>
    </row>
    <row r="137" spans="1:9" x14ac:dyDescent="0.3">
      <c r="A137" s="16">
        <v>136110</v>
      </c>
      <c r="B137" s="16">
        <v>695</v>
      </c>
      <c r="C137" s="16">
        <v>1</v>
      </c>
      <c r="D137" s="16">
        <v>0</v>
      </c>
      <c r="E137" s="16">
        <v>5</v>
      </c>
      <c r="F137" s="16">
        <v>5</v>
      </c>
      <c r="G137" s="16">
        <v>5</v>
      </c>
      <c r="H137" s="16">
        <v>15</v>
      </c>
      <c r="I137" s="16" t="s">
        <v>448</v>
      </c>
    </row>
    <row r="138" spans="1:9" x14ac:dyDescent="0.3">
      <c r="A138" s="16">
        <v>138183</v>
      </c>
      <c r="B138" s="16">
        <v>695</v>
      </c>
      <c r="C138" s="16">
        <v>1</v>
      </c>
      <c r="D138" s="16">
        <v>0</v>
      </c>
      <c r="E138" s="16">
        <v>5</v>
      </c>
      <c r="F138" s="16">
        <v>5</v>
      </c>
      <c r="G138" s="16">
        <v>5</v>
      </c>
      <c r="H138" s="16">
        <v>15</v>
      </c>
      <c r="I138" s="16" t="s">
        <v>448</v>
      </c>
    </row>
    <row r="141" spans="1:9" x14ac:dyDescent="0.3">
      <c r="A141" s="29" t="s">
        <v>476</v>
      </c>
      <c r="B141" s="29"/>
    </row>
    <row r="143" spans="1:9" x14ac:dyDescent="0.3">
      <c r="A143" s="10" t="s">
        <v>471</v>
      </c>
      <c r="B143" s="21" t="s">
        <v>472</v>
      </c>
      <c r="C143" s="21" t="s">
        <v>473</v>
      </c>
      <c r="D143" s="21" t="s">
        <v>474</v>
      </c>
      <c r="E143" s="21" t="s">
        <v>475</v>
      </c>
    </row>
    <row r="144" spans="1:9" x14ac:dyDescent="0.3">
      <c r="A144" s="4" t="s">
        <v>11</v>
      </c>
      <c r="B144" s="16">
        <v>5765</v>
      </c>
      <c r="C144" s="16">
        <v>24.8</v>
      </c>
      <c r="D144" s="16">
        <v>2961</v>
      </c>
      <c r="E144" s="16">
        <v>51.36</v>
      </c>
    </row>
    <row r="145" spans="1:5" x14ac:dyDescent="0.3">
      <c r="A145" s="4" t="s">
        <v>13</v>
      </c>
      <c r="B145" s="16">
        <v>130</v>
      </c>
      <c r="C145" s="16">
        <v>24.6</v>
      </c>
      <c r="D145" s="16">
        <v>63</v>
      </c>
      <c r="E145" s="16">
        <v>48.46</v>
      </c>
    </row>
    <row r="146" spans="1:5" x14ac:dyDescent="0.3">
      <c r="A146" s="4" t="s">
        <v>10</v>
      </c>
      <c r="B146" s="16">
        <v>80742</v>
      </c>
      <c r="C146" s="16">
        <v>24.5</v>
      </c>
      <c r="D146" s="16">
        <v>40456</v>
      </c>
      <c r="E146" s="16">
        <v>50.11</v>
      </c>
    </row>
    <row r="147" spans="1:5" x14ac:dyDescent="0.3">
      <c r="A147" s="4" t="s">
        <v>9</v>
      </c>
      <c r="B147" s="16">
        <v>15063</v>
      </c>
      <c r="C147" s="16">
        <v>24.4</v>
      </c>
      <c r="D147" s="16">
        <v>7465</v>
      </c>
      <c r="E147" s="16">
        <v>49.56</v>
      </c>
    </row>
    <row r="148" spans="1:5" x14ac:dyDescent="0.3">
      <c r="A148" s="4" t="s">
        <v>12</v>
      </c>
      <c r="B148" s="16">
        <v>13575</v>
      </c>
      <c r="C148" s="16">
        <v>24.3</v>
      </c>
      <c r="D148" s="16">
        <v>6717</v>
      </c>
      <c r="E148" s="16">
        <v>49.48</v>
      </c>
    </row>
  </sheetData>
  <mergeCells count="8">
    <mergeCell ref="A37:B37"/>
    <mergeCell ref="A30:B30"/>
    <mergeCell ref="A31:B31"/>
    <mergeCell ref="A32:B32"/>
    <mergeCell ref="A33:B33"/>
    <mergeCell ref="A34:B34"/>
    <mergeCell ref="A35:B35"/>
    <mergeCell ref="A36:B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9112-2A2B-4AD8-8AC2-EB1BC31F9D94}">
  <dimension ref="B1:D64"/>
  <sheetViews>
    <sheetView topLeftCell="A19" workbookViewId="0">
      <selection activeCell="G41" sqref="G41"/>
    </sheetView>
  </sheetViews>
  <sheetFormatPr defaultRowHeight="14.4" x14ac:dyDescent="0.3"/>
  <sheetData>
    <row r="1" spans="2:4" x14ac:dyDescent="0.3">
      <c r="B1" s="12" t="s">
        <v>123</v>
      </c>
      <c r="C1" s="25"/>
      <c r="D1" s="25"/>
    </row>
    <row r="2" spans="2:4" x14ac:dyDescent="0.3">
      <c r="B2" s="8"/>
    </row>
    <row r="3" spans="2:4" x14ac:dyDescent="0.3">
      <c r="B3" t="s">
        <v>96</v>
      </c>
    </row>
    <row r="4" spans="2:4" x14ac:dyDescent="0.3">
      <c r="B4" t="s">
        <v>97</v>
      </c>
    </row>
    <row r="5" spans="2:4" x14ac:dyDescent="0.3">
      <c r="B5" t="s">
        <v>98</v>
      </c>
    </row>
    <row r="6" spans="2:4" x14ac:dyDescent="0.3">
      <c r="B6" t="s">
        <v>117</v>
      </c>
    </row>
    <row r="7" spans="2:4" x14ac:dyDescent="0.3">
      <c r="B7" t="s">
        <v>99</v>
      </c>
    </row>
    <row r="8" spans="2:4" x14ac:dyDescent="0.3">
      <c r="B8" t="s">
        <v>100</v>
      </c>
    </row>
    <row r="9" spans="2:4" x14ac:dyDescent="0.3">
      <c r="B9" t="s">
        <v>101</v>
      </c>
    </row>
    <row r="10" spans="2:4" x14ac:dyDescent="0.3">
      <c r="B10" t="s">
        <v>102</v>
      </c>
    </row>
    <row r="11" spans="2:4" x14ac:dyDescent="0.3">
      <c r="B11" t="s">
        <v>103</v>
      </c>
    </row>
    <row r="12" spans="2:4" x14ac:dyDescent="0.3">
      <c r="B12" t="s">
        <v>104</v>
      </c>
    </row>
    <row r="13" spans="2:4" x14ac:dyDescent="0.3">
      <c r="B13" t="s">
        <v>105</v>
      </c>
    </row>
    <row r="14" spans="2:4" x14ac:dyDescent="0.3">
      <c r="B14" t="s">
        <v>106</v>
      </c>
    </row>
    <row r="15" spans="2:4" x14ac:dyDescent="0.3">
      <c r="B15" t="s">
        <v>107</v>
      </c>
    </row>
    <row r="16" spans="2:4" x14ac:dyDescent="0.3">
      <c r="B16" t="s">
        <v>108</v>
      </c>
    </row>
    <row r="17" spans="2:4" x14ac:dyDescent="0.3">
      <c r="B17" t="s">
        <v>65</v>
      </c>
    </row>
    <row r="18" spans="2:4" x14ac:dyDescent="0.3">
      <c r="B18" t="s">
        <v>109</v>
      </c>
    </row>
    <row r="19" spans="2:4" x14ac:dyDescent="0.3">
      <c r="B19" t="s">
        <v>110</v>
      </c>
    </row>
    <row r="20" spans="2:4" x14ac:dyDescent="0.3">
      <c r="B20" t="s">
        <v>111</v>
      </c>
    </row>
    <row r="21" spans="2:4" x14ac:dyDescent="0.3">
      <c r="B21" t="s">
        <v>112</v>
      </c>
    </row>
    <row r="22" spans="2:4" x14ac:dyDescent="0.3">
      <c r="B22" t="s">
        <v>113</v>
      </c>
    </row>
    <row r="23" spans="2:4" x14ac:dyDescent="0.3">
      <c r="B23" t="s">
        <v>114</v>
      </c>
    </row>
    <row r="24" spans="2:4" x14ac:dyDescent="0.3">
      <c r="B24" t="s">
        <v>115</v>
      </c>
    </row>
    <row r="25" spans="2:4" x14ac:dyDescent="0.3">
      <c r="B25" t="s">
        <v>116</v>
      </c>
    </row>
    <row r="28" spans="2:4" x14ac:dyDescent="0.3">
      <c r="B28" s="12" t="s">
        <v>120</v>
      </c>
      <c r="C28" s="25"/>
      <c r="D28" s="8" t="s">
        <v>121</v>
      </c>
    </row>
    <row r="30" spans="2:4" x14ac:dyDescent="0.3">
      <c r="B30" t="s">
        <v>118</v>
      </c>
    </row>
    <row r="31" spans="2:4" x14ac:dyDescent="0.3">
      <c r="B31" t="s">
        <v>84</v>
      </c>
    </row>
    <row r="32" spans="2:4" x14ac:dyDescent="0.3">
      <c r="B32" t="s">
        <v>85</v>
      </c>
    </row>
    <row r="33" spans="2:3" x14ac:dyDescent="0.3">
      <c r="B33" t="s">
        <v>86</v>
      </c>
    </row>
    <row r="34" spans="2:3" x14ac:dyDescent="0.3">
      <c r="B34" t="s">
        <v>87</v>
      </c>
    </row>
    <row r="35" spans="2:3" x14ac:dyDescent="0.3">
      <c r="B35" t="s">
        <v>88</v>
      </c>
    </row>
    <row r="36" spans="2:3" x14ac:dyDescent="0.3">
      <c r="B36" t="s">
        <v>89</v>
      </c>
    </row>
    <row r="37" spans="2:3" x14ac:dyDescent="0.3">
      <c r="B37" t="s">
        <v>90</v>
      </c>
    </row>
    <row r="38" spans="2:3" x14ac:dyDescent="0.3">
      <c r="B38" t="s">
        <v>91</v>
      </c>
    </row>
    <row r="39" spans="2:3" x14ac:dyDescent="0.3">
      <c r="B39" t="s">
        <v>92</v>
      </c>
    </row>
    <row r="40" spans="2:3" x14ac:dyDescent="0.3">
      <c r="B40" t="s">
        <v>93</v>
      </c>
    </row>
    <row r="41" spans="2:3" x14ac:dyDescent="0.3">
      <c r="B41" t="s">
        <v>119</v>
      </c>
    </row>
    <row r="44" spans="2:3" x14ac:dyDescent="0.3">
      <c r="B44" s="12" t="s">
        <v>64</v>
      </c>
      <c r="C44" s="13"/>
    </row>
    <row r="46" spans="2:3" x14ac:dyDescent="0.3">
      <c r="B46" t="s">
        <v>65</v>
      </c>
    </row>
    <row r="47" spans="2:3" x14ac:dyDescent="0.3">
      <c r="B47" t="s">
        <v>66</v>
      </c>
    </row>
    <row r="48" spans="2:3" x14ac:dyDescent="0.3">
      <c r="B48" t="s">
        <v>67</v>
      </c>
    </row>
    <row r="49" spans="2:2" x14ac:dyDescent="0.3">
      <c r="B49" t="s">
        <v>68</v>
      </c>
    </row>
    <row r="50" spans="2:2" x14ac:dyDescent="0.3">
      <c r="B50" t="s">
        <v>69</v>
      </c>
    </row>
    <row r="51" spans="2:2" x14ac:dyDescent="0.3">
      <c r="B51" t="s">
        <v>70</v>
      </c>
    </row>
    <row r="52" spans="2:2" x14ac:dyDescent="0.3">
      <c r="B52" t="s">
        <v>71</v>
      </c>
    </row>
    <row r="53" spans="2:2" x14ac:dyDescent="0.3">
      <c r="B53" t="s">
        <v>72</v>
      </c>
    </row>
    <row r="54" spans="2:2" x14ac:dyDescent="0.3">
      <c r="B54" t="s">
        <v>73</v>
      </c>
    </row>
    <row r="55" spans="2:2" x14ac:dyDescent="0.3">
      <c r="B55" t="s">
        <v>74</v>
      </c>
    </row>
    <row r="56" spans="2:2" x14ac:dyDescent="0.3">
      <c r="B56" t="s">
        <v>75</v>
      </c>
    </row>
    <row r="57" spans="2:2" x14ac:dyDescent="0.3">
      <c r="B57" t="s">
        <v>76</v>
      </c>
    </row>
    <row r="58" spans="2:2" x14ac:dyDescent="0.3">
      <c r="B58" t="s">
        <v>77</v>
      </c>
    </row>
    <row r="59" spans="2:2" x14ac:dyDescent="0.3">
      <c r="B59" t="s">
        <v>78</v>
      </c>
    </row>
    <row r="60" spans="2:2" x14ac:dyDescent="0.3">
      <c r="B60" t="s">
        <v>79</v>
      </c>
    </row>
    <row r="61" spans="2:2" x14ac:dyDescent="0.3">
      <c r="B61" t="s">
        <v>80</v>
      </c>
    </row>
    <row r="62" spans="2:2" x14ac:dyDescent="0.3">
      <c r="B62" t="s">
        <v>81</v>
      </c>
    </row>
    <row r="63" spans="2:2" x14ac:dyDescent="0.3">
      <c r="B63" t="s">
        <v>82</v>
      </c>
    </row>
    <row r="64" spans="2:2" x14ac:dyDescent="0.3">
      <c r="B64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5A01-1084-4E01-89A2-C69E68054A0B}">
  <dimension ref="A2:J329"/>
  <sheetViews>
    <sheetView tabSelected="1" topLeftCell="A126" workbookViewId="0">
      <selection activeCell="K141" sqref="K141"/>
    </sheetView>
  </sheetViews>
  <sheetFormatPr defaultRowHeight="14.4" x14ac:dyDescent="0.3"/>
  <sheetData>
    <row r="2" spans="1:7" x14ac:dyDescent="0.3">
      <c r="A2" s="30" t="s">
        <v>124</v>
      </c>
      <c r="B2" s="25"/>
      <c r="C2" s="25"/>
      <c r="D2" s="25"/>
      <c r="E2" s="25"/>
      <c r="F2" s="25"/>
      <c r="G2" s="25"/>
    </row>
    <row r="4" spans="1:7" x14ac:dyDescent="0.3">
      <c r="A4" t="s">
        <v>125</v>
      </c>
    </row>
    <row r="5" spans="1:7" x14ac:dyDescent="0.3">
      <c r="A5" t="s">
        <v>97</v>
      </c>
    </row>
    <row r="6" spans="1:7" x14ac:dyDescent="0.3">
      <c r="A6" t="s">
        <v>126</v>
      </c>
    </row>
    <row r="7" spans="1:7" x14ac:dyDescent="0.3">
      <c r="A7" t="s">
        <v>127</v>
      </c>
    </row>
    <row r="8" spans="1:7" x14ac:dyDescent="0.3">
      <c r="A8" t="s">
        <v>128</v>
      </c>
    </row>
    <row r="9" spans="1:7" x14ac:dyDescent="0.3">
      <c r="A9" t="s">
        <v>129</v>
      </c>
    </row>
    <row r="10" spans="1:7" x14ac:dyDescent="0.3">
      <c r="A10" t="s">
        <v>130</v>
      </c>
    </row>
    <row r="11" spans="1:7" x14ac:dyDescent="0.3">
      <c r="A11" t="s">
        <v>131</v>
      </c>
    </row>
    <row r="12" spans="1:7" x14ac:dyDescent="0.3">
      <c r="A12" t="s">
        <v>132</v>
      </c>
    </row>
    <row r="13" spans="1:7" x14ac:dyDescent="0.3">
      <c r="A13" t="s">
        <v>133</v>
      </c>
    </row>
    <row r="14" spans="1:7" x14ac:dyDescent="0.3">
      <c r="A14" t="s">
        <v>134</v>
      </c>
    </row>
    <row r="15" spans="1:7" x14ac:dyDescent="0.3">
      <c r="A15" t="s">
        <v>135</v>
      </c>
    </row>
    <row r="16" spans="1:7" x14ac:dyDescent="0.3">
      <c r="A16" t="s">
        <v>136</v>
      </c>
    </row>
    <row r="17" spans="1:6" x14ac:dyDescent="0.3">
      <c r="A17" t="s">
        <v>137</v>
      </c>
    </row>
    <row r="18" spans="1:6" x14ac:dyDescent="0.3">
      <c r="A18" t="s">
        <v>138</v>
      </c>
    </row>
    <row r="19" spans="1:6" x14ac:dyDescent="0.3">
      <c r="A19" t="s">
        <v>108</v>
      </c>
    </row>
    <row r="20" spans="1:6" x14ac:dyDescent="0.3">
      <c r="A20" t="s">
        <v>65</v>
      </c>
    </row>
    <row r="21" spans="1:6" x14ac:dyDescent="0.3">
      <c r="A21" t="s">
        <v>139</v>
      </c>
    </row>
    <row r="22" spans="1:6" x14ac:dyDescent="0.3">
      <c r="A22" t="s">
        <v>140</v>
      </c>
    </row>
    <row r="23" spans="1:6" x14ac:dyDescent="0.3">
      <c r="A23" t="s">
        <v>141</v>
      </c>
    </row>
    <row r="24" spans="1:6" x14ac:dyDescent="0.3">
      <c r="A24" t="s">
        <v>142</v>
      </c>
    </row>
    <row r="27" spans="1:6" x14ac:dyDescent="0.3">
      <c r="A27" s="30" t="s">
        <v>146</v>
      </c>
      <c r="B27" s="25"/>
      <c r="C27" s="25"/>
      <c r="D27" s="25"/>
      <c r="E27" s="25"/>
      <c r="F27" s="25"/>
    </row>
    <row r="29" spans="1:6" x14ac:dyDescent="0.3">
      <c r="A29" t="s">
        <v>147</v>
      </c>
    </row>
    <row r="30" spans="1:6" x14ac:dyDescent="0.3">
      <c r="A30" t="s">
        <v>97</v>
      </c>
    </row>
    <row r="31" spans="1:6" x14ac:dyDescent="0.3">
      <c r="A31" t="s">
        <v>148</v>
      </c>
    </row>
    <row r="32" spans="1:6" x14ac:dyDescent="0.3">
      <c r="A32" t="s">
        <v>149</v>
      </c>
    </row>
    <row r="33" spans="1:1" x14ac:dyDescent="0.3">
      <c r="A33" t="s">
        <v>150</v>
      </c>
    </row>
    <row r="34" spans="1:1" x14ac:dyDescent="0.3">
      <c r="A34" t="s">
        <v>151</v>
      </c>
    </row>
    <row r="35" spans="1:1" x14ac:dyDescent="0.3">
      <c r="A35" t="s">
        <v>152</v>
      </c>
    </row>
    <row r="36" spans="1:1" x14ac:dyDescent="0.3">
      <c r="A36" t="s">
        <v>153</v>
      </c>
    </row>
    <row r="37" spans="1:1" x14ac:dyDescent="0.3">
      <c r="A37" t="s">
        <v>154</v>
      </c>
    </row>
    <row r="38" spans="1:1" x14ac:dyDescent="0.3">
      <c r="A38" t="s">
        <v>155</v>
      </c>
    </row>
    <row r="39" spans="1:1" x14ac:dyDescent="0.3">
      <c r="A39" t="s">
        <v>156</v>
      </c>
    </row>
    <row r="40" spans="1:1" x14ac:dyDescent="0.3">
      <c r="A40" t="s">
        <v>108</v>
      </c>
    </row>
    <row r="41" spans="1:1" x14ac:dyDescent="0.3">
      <c r="A41" t="s">
        <v>65</v>
      </c>
    </row>
    <row r="42" spans="1:1" x14ac:dyDescent="0.3">
      <c r="A42" t="s">
        <v>157</v>
      </c>
    </row>
    <row r="43" spans="1:1" x14ac:dyDescent="0.3">
      <c r="A43" t="s">
        <v>158</v>
      </c>
    </row>
    <row r="44" spans="1:1" x14ac:dyDescent="0.3">
      <c r="A44" t="s">
        <v>159</v>
      </c>
    </row>
    <row r="45" spans="1:1" x14ac:dyDescent="0.3">
      <c r="A45" t="s">
        <v>160</v>
      </c>
    </row>
    <row r="46" spans="1:1" x14ac:dyDescent="0.3">
      <c r="A46" t="s">
        <v>161</v>
      </c>
    </row>
    <row r="47" spans="1:1" x14ac:dyDescent="0.3">
      <c r="A47" t="s">
        <v>162</v>
      </c>
    </row>
    <row r="48" spans="1:1" x14ac:dyDescent="0.3">
      <c r="A48" t="s">
        <v>163</v>
      </c>
    </row>
    <row r="49" spans="1:7" x14ac:dyDescent="0.3">
      <c r="A49" t="s">
        <v>164</v>
      </c>
    </row>
    <row r="50" spans="1:7" x14ac:dyDescent="0.3">
      <c r="A50" t="s">
        <v>165</v>
      </c>
    </row>
    <row r="51" spans="1:7" x14ac:dyDescent="0.3">
      <c r="A51" t="s">
        <v>166</v>
      </c>
    </row>
    <row r="52" spans="1:7" x14ac:dyDescent="0.3">
      <c r="A52" t="s">
        <v>167</v>
      </c>
    </row>
    <row r="53" spans="1:7" x14ac:dyDescent="0.3">
      <c r="A53" t="s">
        <v>168</v>
      </c>
    </row>
    <row r="54" spans="1:7" x14ac:dyDescent="0.3">
      <c r="A54" t="s">
        <v>169</v>
      </c>
    </row>
    <row r="55" spans="1:7" x14ac:dyDescent="0.3">
      <c r="A55" t="s">
        <v>170</v>
      </c>
    </row>
    <row r="56" spans="1:7" x14ac:dyDescent="0.3">
      <c r="A56" t="s">
        <v>171</v>
      </c>
    </row>
    <row r="57" spans="1:7" x14ac:dyDescent="0.3">
      <c r="A57" t="s">
        <v>172</v>
      </c>
    </row>
    <row r="60" spans="1:7" x14ac:dyDescent="0.3">
      <c r="A60" s="30" t="s">
        <v>186</v>
      </c>
      <c r="B60" s="25"/>
      <c r="C60" s="25"/>
      <c r="D60" s="25"/>
      <c r="E60" s="25"/>
      <c r="F60" s="25"/>
      <c r="G60" s="25"/>
    </row>
    <row r="62" spans="1:7" x14ac:dyDescent="0.3">
      <c r="A62" t="s">
        <v>65</v>
      </c>
    </row>
    <row r="63" spans="1:7" x14ac:dyDescent="0.3">
      <c r="A63" t="s">
        <v>365</v>
      </c>
    </row>
    <row r="64" spans="1:7" x14ac:dyDescent="0.3">
      <c r="A64" t="s">
        <v>366</v>
      </c>
    </row>
    <row r="65" spans="1:5" x14ac:dyDescent="0.3">
      <c r="A65" t="s">
        <v>361</v>
      </c>
    </row>
    <row r="66" spans="1:5" x14ac:dyDescent="0.3">
      <c r="A66" t="s">
        <v>362</v>
      </c>
    </row>
    <row r="67" spans="1:5" x14ac:dyDescent="0.3">
      <c r="A67" t="s">
        <v>363</v>
      </c>
    </row>
    <row r="68" spans="1:5" x14ac:dyDescent="0.3">
      <c r="A68" t="s">
        <v>187</v>
      </c>
    </row>
    <row r="69" spans="1:5" x14ac:dyDescent="0.3">
      <c r="A69" t="s">
        <v>364</v>
      </c>
    </row>
    <row r="70" spans="1:5" x14ac:dyDescent="0.3">
      <c r="A70" t="s">
        <v>188</v>
      </c>
    </row>
    <row r="71" spans="1:5" x14ac:dyDescent="0.3">
      <c r="A71" t="s">
        <v>189</v>
      </c>
    </row>
    <row r="72" spans="1:5" x14ac:dyDescent="0.3">
      <c r="A72" t="s">
        <v>190</v>
      </c>
    </row>
    <row r="73" spans="1:5" x14ac:dyDescent="0.3">
      <c r="A73" t="s">
        <v>191</v>
      </c>
    </row>
    <row r="74" spans="1:5" x14ac:dyDescent="0.3">
      <c r="A74" t="s">
        <v>192</v>
      </c>
    </row>
    <row r="77" spans="1:5" x14ac:dyDescent="0.3">
      <c r="A77" s="33" t="s">
        <v>199</v>
      </c>
      <c r="B77" s="32"/>
      <c r="C77" s="32"/>
      <c r="D77" s="32"/>
      <c r="E77" s="32"/>
    </row>
    <row r="79" spans="1:5" x14ac:dyDescent="0.3">
      <c r="A79" t="s">
        <v>65</v>
      </c>
    </row>
    <row r="80" spans="1:5" x14ac:dyDescent="0.3">
      <c r="A80" t="s">
        <v>355</v>
      </c>
    </row>
    <row r="81" spans="1:10" x14ac:dyDescent="0.3">
      <c r="A81" t="s">
        <v>356</v>
      </c>
    </row>
    <row r="82" spans="1:10" x14ac:dyDescent="0.3">
      <c r="A82" t="s">
        <v>357</v>
      </c>
    </row>
    <row r="83" spans="1:10" x14ac:dyDescent="0.3">
      <c r="A83" t="s">
        <v>358</v>
      </c>
    </row>
    <row r="84" spans="1:10" x14ac:dyDescent="0.3">
      <c r="A84" t="s">
        <v>359</v>
      </c>
    </row>
    <row r="85" spans="1:10" x14ac:dyDescent="0.3">
      <c r="A85" t="s">
        <v>360</v>
      </c>
    </row>
    <row r="86" spans="1:10" x14ac:dyDescent="0.3">
      <c r="A86" t="s">
        <v>200</v>
      </c>
    </row>
    <row r="87" spans="1:10" x14ac:dyDescent="0.3">
      <c r="A87" t="s">
        <v>201</v>
      </c>
    </row>
    <row r="88" spans="1:10" x14ac:dyDescent="0.3">
      <c r="A88" t="s">
        <v>202</v>
      </c>
    </row>
    <row r="89" spans="1:10" x14ac:dyDescent="0.3">
      <c r="A89" t="s">
        <v>203</v>
      </c>
    </row>
    <row r="92" spans="1:10" x14ac:dyDescent="0.3">
      <c r="A92" s="33" t="s">
        <v>218</v>
      </c>
      <c r="B92" s="32"/>
      <c r="C92" s="32"/>
      <c r="D92" s="32"/>
      <c r="E92" s="32"/>
    </row>
    <row r="94" spans="1:10" x14ac:dyDescent="0.3">
      <c r="A94" s="34" t="s">
        <v>236</v>
      </c>
      <c r="B94" s="35"/>
      <c r="C94" s="35"/>
      <c r="D94" s="35"/>
      <c r="E94" s="35"/>
      <c r="F94" s="35"/>
      <c r="G94" s="35"/>
      <c r="H94" s="35"/>
      <c r="I94" s="35"/>
      <c r="J94" s="35"/>
    </row>
    <row r="95" spans="1:10" x14ac:dyDescent="0.3">
      <c r="A95" t="s">
        <v>219</v>
      </c>
    </row>
    <row r="96" spans="1:10" x14ac:dyDescent="0.3">
      <c r="A96" t="s">
        <v>97</v>
      </c>
    </row>
    <row r="97" spans="1:1" x14ac:dyDescent="0.3">
      <c r="A97" t="s">
        <v>346</v>
      </c>
    </row>
    <row r="98" spans="1:1" x14ac:dyDescent="0.3">
      <c r="A98" t="s">
        <v>347</v>
      </c>
    </row>
    <row r="99" spans="1:1" x14ac:dyDescent="0.3">
      <c r="A99" t="s">
        <v>220</v>
      </c>
    </row>
    <row r="100" spans="1:1" x14ac:dyDescent="0.3">
      <c r="A100" t="s">
        <v>221</v>
      </c>
    </row>
    <row r="101" spans="1:1" x14ac:dyDescent="0.3">
      <c r="A101" t="s">
        <v>105</v>
      </c>
    </row>
    <row r="102" spans="1:1" x14ac:dyDescent="0.3">
      <c r="A102" t="s">
        <v>222</v>
      </c>
    </row>
    <row r="103" spans="1:1" x14ac:dyDescent="0.3">
      <c r="A103" t="s">
        <v>97</v>
      </c>
    </row>
    <row r="104" spans="1:1" x14ac:dyDescent="0.3">
      <c r="A104" t="s">
        <v>332</v>
      </c>
    </row>
    <row r="105" spans="1:1" x14ac:dyDescent="0.3">
      <c r="A105" t="s">
        <v>223</v>
      </c>
    </row>
    <row r="106" spans="1:1" x14ac:dyDescent="0.3">
      <c r="A106" t="s">
        <v>224</v>
      </c>
    </row>
    <row r="107" spans="1:1" x14ac:dyDescent="0.3">
      <c r="A107" t="s">
        <v>225</v>
      </c>
    </row>
    <row r="108" spans="1:1" x14ac:dyDescent="0.3">
      <c r="A108" t="s">
        <v>226</v>
      </c>
    </row>
    <row r="109" spans="1:1" x14ac:dyDescent="0.3">
      <c r="A109" t="s">
        <v>227</v>
      </c>
    </row>
    <row r="110" spans="1:1" x14ac:dyDescent="0.3">
      <c r="A110" t="s">
        <v>228</v>
      </c>
    </row>
    <row r="111" spans="1:1" x14ac:dyDescent="0.3">
      <c r="A111" t="s">
        <v>229</v>
      </c>
    </row>
    <row r="112" spans="1:1" x14ac:dyDescent="0.3">
      <c r="A112" t="s">
        <v>237</v>
      </c>
    </row>
    <row r="113" spans="1:1" x14ac:dyDescent="0.3">
      <c r="A113" t="s">
        <v>223</v>
      </c>
    </row>
    <row r="114" spans="1:1" x14ac:dyDescent="0.3">
      <c r="A114" t="s">
        <v>224</v>
      </c>
    </row>
    <row r="115" spans="1:1" x14ac:dyDescent="0.3">
      <c r="A115" t="s">
        <v>225</v>
      </c>
    </row>
    <row r="116" spans="1:1" x14ac:dyDescent="0.3">
      <c r="A116" t="s">
        <v>226</v>
      </c>
    </row>
    <row r="117" spans="1:1" x14ac:dyDescent="0.3">
      <c r="A117" t="s">
        <v>227</v>
      </c>
    </row>
    <row r="118" spans="1:1" x14ac:dyDescent="0.3">
      <c r="A118" t="s">
        <v>228</v>
      </c>
    </row>
    <row r="119" spans="1:1" x14ac:dyDescent="0.3">
      <c r="A119" t="s">
        <v>488</v>
      </c>
    </row>
    <row r="120" spans="1:1" x14ac:dyDescent="0.3">
      <c r="A120" t="s">
        <v>230</v>
      </c>
    </row>
    <row r="121" spans="1:1" x14ac:dyDescent="0.3">
      <c r="A121" t="s">
        <v>231</v>
      </c>
    </row>
    <row r="122" spans="1:1" x14ac:dyDescent="0.3">
      <c r="A122" t="s">
        <v>221</v>
      </c>
    </row>
    <row r="123" spans="1:1" x14ac:dyDescent="0.3">
      <c r="A123" t="s">
        <v>232</v>
      </c>
    </row>
    <row r="124" spans="1:1" x14ac:dyDescent="0.3">
      <c r="A124" t="s">
        <v>233</v>
      </c>
    </row>
    <row r="125" spans="1:1" x14ac:dyDescent="0.3">
      <c r="A125" t="s">
        <v>108</v>
      </c>
    </row>
    <row r="126" spans="1:1" x14ac:dyDescent="0.3">
      <c r="A126" t="s">
        <v>65</v>
      </c>
    </row>
    <row r="127" spans="1:1" x14ac:dyDescent="0.3">
      <c r="A127" t="s">
        <v>348</v>
      </c>
    </row>
    <row r="128" spans="1:1" x14ac:dyDescent="0.3">
      <c r="A128" t="s">
        <v>349</v>
      </c>
    </row>
    <row r="129" spans="1:7" x14ac:dyDescent="0.3">
      <c r="A129" t="s">
        <v>350</v>
      </c>
    </row>
    <row r="130" spans="1:7" x14ac:dyDescent="0.3">
      <c r="A130" t="s">
        <v>351</v>
      </c>
    </row>
    <row r="131" spans="1:7" x14ac:dyDescent="0.3">
      <c r="A131" t="s">
        <v>352</v>
      </c>
    </row>
    <row r="132" spans="1:7" x14ac:dyDescent="0.3">
      <c r="A132" t="s">
        <v>353</v>
      </c>
    </row>
    <row r="133" spans="1:7" x14ac:dyDescent="0.3">
      <c r="A133" t="s">
        <v>234</v>
      </c>
    </row>
    <row r="134" spans="1:7" x14ac:dyDescent="0.3">
      <c r="A134" t="s">
        <v>235</v>
      </c>
    </row>
    <row r="135" spans="1:7" x14ac:dyDescent="0.3">
      <c r="A135" t="s">
        <v>354</v>
      </c>
    </row>
    <row r="138" spans="1:7" x14ac:dyDescent="0.3">
      <c r="A138" s="32" t="s">
        <v>246</v>
      </c>
      <c r="B138" s="25"/>
      <c r="C138" s="25"/>
      <c r="D138" s="25"/>
      <c r="E138" s="25"/>
      <c r="F138" s="25"/>
      <c r="G138" s="25"/>
    </row>
    <row r="140" spans="1:7" x14ac:dyDescent="0.3">
      <c r="A140" t="s">
        <v>65</v>
      </c>
    </row>
    <row r="141" spans="1:7" x14ac:dyDescent="0.3">
      <c r="A141" t="s">
        <v>303</v>
      </c>
    </row>
    <row r="142" spans="1:7" x14ac:dyDescent="0.3">
      <c r="A142" t="s">
        <v>304</v>
      </c>
    </row>
    <row r="143" spans="1:7" x14ac:dyDescent="0.3">
      <c r="A143" t="s">
        <v>305</v>
      </c>
    </row>
    <row r="144" spans="1:7" x14ac:dyDescent="0.3">
      <c r="A144" t="s">
        <v>306</v>
      </c>
    </row>
    <row r="145" spans="1:6" x14ac:dyDescent="0.3">
      <c r="A145" t="s">
        <v>489</v>
      </c>
    </row>
    <row r="146" spans="1:6" x14ac:dyDescent="0.3">
      <c r="A146" t="s">
        <v>308</v>
      </c>
    </row>
    <row r="147" spans="1:6" x14ac:dyDescent="0.3">
      <c r="A147" t="s">
        <v>307</v>
      </c>
    </row>
    <row r="148" spans="1:6" x14ac:dyDescent="0.3">
      <c r="A148" t="s">
        <v>309</v>
      </c>
    </row>
    <row r="149" spans="1:6" x14ac:dyDescent="0.3">
      <c r="A149" t="s">
        <v>247</v>
      </c>
    </row>
    <row r="150" spans="1:6" x14ac:dyDescent="0.3">
      <c r="A150" t="s">
        <v>248</v>
      </c>
    </row>
    <row r="151" spans="1:6" x14ac:dyDescent="0.3">
      <c r="A151" t="s">
        <v>249</v>
      </c>
    </row>
    <row r="152" spans="1:6" x14ac:dyDescent="0.3">
      <c r="A152" t="s">
        <v>250</v>
      </c>
    </row>
    <row r="153" spans="1:6" x14ac:dyDescent="0.3">
      <c r="A153" t="s">
        <v>251</v>
      </c>
    </row>
    <row r="156" spans="1:6" x14ac:dyDescent="0.3">
      <c r="A156" s="32" t="s">
        <v>291</v>
      </c>
      <c r="B156" s="25"/>
      <c r="C156" s="25"/>
      <c r="D156" s="25"/>
      <c r="E156" s="25"/>
      <c r="F156" s="25"/>
    </row>
    <row r="158" spans="1:6" x14ac:dyDescent="0.3">
      <c r="A158" t="s">
        <v>65</v>
      </c>
    </row>
    <row r="159" spans="1:6" x14ac:dyDescent="0.3">
      <c r="A159" t="s">
        <v>66</v>
      </c>
    </row>
    <row r="160" spans="1:6" x14ac:dyDescent="0.3">
      <c r="A160" t="s">
        <v>292</v>
      </c>
    </row>
    <row r="161" spans="1:1" x14ac:dyDescent="0.3">
      <c r="A161" t="s">
        <v>293</v>
      </c>
    </row>
    <row r="162" spans="1:1" x14ac:dyDescent="0.3">
      <c r="A162" t="s">
        <v>294</v>
      </c>
    </row>
    <row r="163" spans="1:1" x14ac:dyDescent="0.3">
      <c r="A163" t="s">
        <v>295</v>
      </c>
    </row>
    <row r="164" spans="1:1" x14ac:dyDescent="0.3">
      <c r="A164" t="s">
        <v>296</v>
      </c>
    </row>
    <row r="165" spans="1:1" x14ac:dyDescent="0.3">
      <c r="A165" t="s">
        <v>297</v>
      </c>
    </row>
    <row r="166" spans="1:1" x14ac:dyDescent="0.3">
      <c r="A166" t="s">
        <v>74</v>
      </c>
    </row>
    <row r="167" spans="1:1" x14ac:dyDescent="0.3">
      <c r="A167" t="s">
        <v>75</v>
      </c>
    </row>
    <row r="168" spans="1:1" x14ac:dyDescent="0.3">
      <c r="A168" t="s">
        <v>76</v>
      </c>
    </row>
    <row r="169" spans="1:1" x14ac:dyDescent="0.3">
      <c r="A169" t="s">
        <v>77</v>
      </c>
    </row>
    <row r="170" spans="1:1" x14ac:dyDescent="0.3">
      <c r="A170" t="s">
        <v>298</v>
      </c>
    </row>
    <row r="171" spans="1:1" x14ac:dyDescent="0.3">
      <c r="A171" t="s">
        <v>299</v>
      </c>
    </row>
    <row r="172" spans="1:1" x14ac:dyDescent="0.3">
      <c r="A172" t="s">
        <v>300</v>
      </c>
    </row>
    <row r="173" spans="1:1" x14ac:dyDescent="0.3">
      <c r="A173" t="s">
        <v>80</v>
      </c>
    </row>
    <row r="174" spans="1:1" x14ac:dyDescent="0.3">
      <c r="A174" t="s">
        <v>81</v>
      </c>
    </row>
    <row r="175" spans="1:1" x14ac:dyDescent="0.3">
      <c r="A175" t="s">
        <v>82</v>
      </c>
    </row>
    <row r="176" spans="1:1" x14ac:dyDescent="0.3">
      <c r="A176" t="s">
        <v>301</v>
      </c>
    </row>
    <row r="177" spans="1:6" x14ac:dyDescent="0.3">
      <c r="A177" t="s">
        <v>302</v>
      </c>
    </row>
    <row r="179" spans="1:6" x14ac:dyDescent="0.3">
      <c r="A179" s="32" t="s">
        <v>310</v>
      </c>
      <c r="B179" s="25"/>
      <c r="C179" s="25"/>
      <c r="D179" s="25"/>
      <c r="E179" s="25"/>
      <c r="F179" s="25"/>
    </row>
    <row r="181" spans="1:6" x14ac:dyDescent="0.3">
      <c r="A181" t="s">
        <v>65</v>
      </c>
    </row>
    <row r="182" spans="1:6" x14ac:dyDescent="0.3">
      <c r="A182" t="s">
        <v>311</v>
      </c>
    </row>
    <row r="183" spans="1:6" x14ac:dyDescent="0.3">
      <c r="A183" t="s">
        <v>312</v>
      </c>
    </row>
    <row r="184" spans="1:6" x14ac:dyDescent="0.3">
      <c r="A184" t="s">
        <v>313</v>
      </c>
    </row>
    <row r="185" spans="1:6" x14ac:dyDescent="0.3">
      <c r="A185" t="s">
        <v>314</v>
      </c>
    </row>
    <row r="186" spans="1:6" x14ac:dyDescent="0.3">
      <c r="A186" t="s">
        <v>315</v>
      </c>
    </row>
    <row r="187" spans="1:6" x14ac:dyDescent="0.3">
      <c r="A187" t="s">
        <v>316</v>
      </c>
    </row>
    <row r="188" spans="1:6" x14ac:dyDescent="0.3">
      <c r="A188" t="s">
        <v>317</v>
      </c>
    </row>
    <row r="189" spans="1:6" x14ac:dyDescent="0.3">
      <c r="A189" t="s">
        <v>318</v>
      </c>
    </row>
    <row r="190" spans="1:6" x14ac:dyDescent="0.3">
      <c r="A190" t="s">
        <v>165</v>
      </c>
    </row>
    <row r="191" spans="1:6" x14ac:dyDescent="0.3">
      <c r="A191" t="s">
        <v>319</v>
      </c>
    </row>
    <row r="192" spans="1:6" x14ac:dyDescent="0.3">
      <c r="A192" t="s">
        <v>320</v>
      </c>
    </row>
    <row r="193" spans="1:7" x14ac:dyDescent="0.3">
      <c r="A193" t="s">
        <v>321</v>
      </c>
    </row>
    <row r="194" spans="1:7" x14ac:dyDescent="0.3">
      <c r="A194" t="s">
        <v>322</v>
      </c>
    </row>
    <row r="195" spans="1:7" x14ac:dyDescent="0.3">
      <c r="A195" t="s">
        <v>323</v>
      </c>
    </row>
    <row r="196" spans="1:7" x14ac:dyDescent="0.3">
      <c r="A196" t="s">
        <v>324</v>
      </c>
    </row>
    <row r="197" spans="1:7" x14ac:dyDescent="0.3">
      <c r="A197" t="s">
        <v>325</v>
      </c>
    </row>
    <row r="198" spans="1:7" x14ac:dyDescent="0.3">
      <c r="A198" t="s">
        <v>326</v>
      </c>
    </row>
    <row r="199" spans="1:7" x14ac:dyDescent="0.3">
      <c r="A199" t="s">
        <v>327</v>
      </c>
    </row>
    <row r="200" spans="1:7" x14ac:dyDescent="0.3">
      <c r="A200" t="s">
        <v>328</v>
      </c>
    </row>
    <row r="201" spans="1:7" x14ac:dyDescent="0.3">
      <c r="A201" t="s">
        <v>329</v>
      </c>
    </row>
    <row r="202" spans="1:7" x14ac:dyDescent="0.3">
      <c r="A202" t="s">
        <v>172</v>
      </c>
    </row>
    <row r="205" spans="1:7" x14ac:dyDescent="0.3">
      <c r="A205" s="32" t="s">
        <v>330</v>
      </c>
      <c r="B205" s="25"/>
      <c r="C205" s="25"/>
      <c r="D205" s="25"/>
      <c r="E205" s="25"/>
      <c r="F205" s="25"/>
      <c r="G205" s="32"/>
    </row>
    <row r="207" spans="1:7" x14ac:dyDescent="0.3">
      <c r="A207" t="s">
        <v>331</v>
      </c>
    </row>
    <row r="208" spans="1:7" x14ac:dyDescent="0.3">
      <c r="A208" t="s">
        <v>97</v>
      </c>
    </row>
    <row r="209" spans="1:1" x14ac:dyDescent="0.3">
      <c r="A209" t="s">
        <v>332</v>
      </c>
    </row>
    <row r="210" spans="1:1" x14ac:dyDescent="0.3">
      <c r="A210" t="s">
        <v>148</v>
      </c>
    </row>
    <row r="211" spans="1:1" x14ac:dyDescent="0.3">
      <c r="A211" t="s">
        <v>333</v>
      </c>
    </row>
    <row r="212" spans="1:1" x14ac:dyDescent="0.3">
      <c r="A212" t="s">
        <v>334</v>
      </c>
    </row>
    <row r="213" spans="1:1" x14ac:dyDescent="0.3">
      <c r="A213" t="s">
        <v>221</v>
      </c>
    </row>
    <row r="214" spans="1:1" x14ac:dyDescent="0.3">
      <c r="A214" t="s">
        <v>233</v>
      </c>
    </row>
    <row r="215" spans="1:1" x14ac:dyDescent="0.3">
      <c r="A215" t="s">
        <v>335</v>
      </c>
    </row>
    <row r="216" spans="1:1" x14ac:dyDescent="0.3">
      <c r="A216" t="s">
        <v>336</v>
      </c>
    </row>
    <row r="217" spans="1:1" x14ac:dyDescent="0.3">
      <c r="A217" t="s">
        <v>337</v>
      </c>
    </row>
    <row r="218" spans="1:1" x14ac:dyDescent="0.3">
      <c r="A218" t="s">
        <v>108</v>
      </c>
    </row>
    <row r="219" spans="1:1" x14ac:dyDescent="0.3">
      <c r="A219" t="s">
        <v>65</v>
      </c>
    </row>
    <row r="220" spans="1:1" x14ac:dyDescent="0.3">
      <c r="A220" t="s">
        <v>157</v>
      </c>
    </row>
    <row r="221" spans="1:1" x14ac:dyDescent="0.3">
      <c r="A221" t="s">
        <v>338</v>
      </c>
    </row>
    <row r="222" spans="1:1" x14ac:dyDescent="0.3">
      <c r="A222" t="s">
        <v>339</v>
      </c>
    </row>
    <row r="223" spans="1:1" x14ac:dyDescent="0.3">
      <c r="A223" t="s">
        <v>340</v>
      </c>
    </row>
    <row r="224" spans="1:1" x14ac:dyDescent="0.3">
      <c r="A224" t="s">
        <v>341</v>
      </c>
    </row>
    <row r="225" spans="1:6" x14ac:dyDescent="0.3">
      <c r="A225" t="s">
        <v>342</v>
      </c>
    </row>
    <row r="226" spans="1:6" x14ac:dyDescent="0.3">
      <c r="A226" t="s">
        <v>343</v>
      </c>
    </row>
    <row r="227" spans="1:6" x14ac:dyDescent="0.3">
      <c r="A227" t="s">
        <v>344</v>
      </c>
    </row>
    <row r="228" spans="1:6" x14ac:dyDescent="0.3">
      <c r="A228" t="s">
        <v>345</v>
      </c>
    </row>
    <row r="231" spans="1:6" x14ac:dyDescent="0.3">
      <c r="A231" s="32" t="s">
        <v>367</v>
      </c>
      <c r="B231" s="25"/>
      <c r="C231" s="25"/>
      <c r="D231" s="25"/>
      <c r="E231" s="25"/>
      <c r="F231" s="25"/>
    </row>
    <row r="233" spans="1:6" x14ac:dyDescent="0.3">
      <c r="A233" t="s">
        <v>368</v>
      </c>
    </row>
    <row r="234" spans="1:6" x14ac:dyDescent="0.3">
      <c r="A234" t="s">
        <v>97</v>
      </c>
    </row>
    <row r="235" spans="1:6" x14ac:dyDescent="0.3">
      <c r="A235" t="s">
        <v>380</v>
      </c>
    </row>
    <row r="236" spans="1:6" x14ac:dyDescent="0.3">
      <c r="A236" t="s">
        <v>381</v>
      </c>
    </row>
    <row r="237" spans="1:6" x14ac:dyDescent="0.3">
      <c r="A237" t="s">
        <v>382</v>
      </c>
    </row>
    <row r="238" spans="1:6" x14ac:dyDescent="0.3">
      <c r="A238" t="s">
        <v>383</v>
      </c>
    </row>
    <row r="239" spans="1:6" x14ac:dyDescent="0.3">
      <c r="A239" t="s">
        <v>384</v>
      </c>
    </row>
    <row r="240" spans="1:6" x14ac:dyDescent="0.3">
      <c r="A240" t="s">
        <v>385</v>
      </c>
    </row>
    <row r="241" spans="1:1" x14ac:dyDescent="0.3">
      <c r="A241" t="s">
        <v>369</v>
      </c>
    </row>
    <row r="242" spans="1:1" x14ac:dyDescent="0.3">
      <c r="A242" t="s">
        <v>105</v>
      </c>
    </row>
    <row r="243" spans="1:1" x14ac:dyDescent="0.3">
      <c r="A243" t="s">
        <v>370</v>
      </c>
    </row>
    <row r="244" spans="1:1" x14ac:dyDescent="0.3">
      <c r="A244" t="s">
        <v>97</v>
      </c>
    </row>
    <row r="245" spans="1:1" x14ac:dyDescent="0.3">
      <c r="A245" t="s">
        <v>386</v>
      </c>
    </row>
    <row r="246" spans="1:1" x14ac:dyDescent="0.3">
      <c r="A246" t="s">
        <v>387</v>
      </c>
    </row>
    <row r="247" spans="1:1" x14ac:dyDescent="0.3">
      <c r="A247" t="s">
        <v>388</v>
      </c>
    </row>
    <row r="248" spans="1:1" x14ac:dyDescent="0.3">
      <c r="A248" t="s">
        <v>389</v>
      </c>
    </row>
    <row r="249" spans="1:1" x14ac:dyDescent="0.3">
      <c r="A249" t="s">
        <v>371</v>
      </c>
    </row>
    <row r="250" spans="1:1" x14ac:dyDescent="0.3">
      <c r="A250" t="s">
        <v>372</v>
      </c>
    </row>
    <row r="251" spans="1:1" x14ac:dyDescent="0.3">
      <c r="A251" t="s">
        <v>390</v>
      </c>
    </row>
    <row r="252" spans="1:1" x14ac:dyDescent="0.3">
      <c r="A252" t="s">
        <v>108</v>
      </c>
    </row>
    <row r="253" spans="1:1" x14ac:dyDescent="0.3">
      <c r="A253" t="s">
        <v>65</v>
      </c>
    </row>
    <row r="254" spans="1:1" x14ac:dyDescent="0.3">
      <c r="A254" t="s">
        <v>303</v>
      </c>
    </row>
    <row r="255" spans="1:1" x14ac:dyDescent="0.3">
      <c r="A255" t="s">
        <v>391</v>
      </c>
    </row>
    <row r="256" spans="1:1" x14ac:dyDescent="0.3">
      <c r="A256" t="s">
        <v>392</v>
      </c>
    </row>
    <row r="257" spans="1:8" x14ac:dyDescent="0.3">
      <c r="A257" t="s">
        <v>393</v>
      </c>
    </row>
    <row r="258" spans="1:8" x14ac:dyDescent="0.3">
      <c r="A258" t="s">
        <v>373</v>
      </c>
    </row>
    <row r="259" spans="1:8" x14ac:dyDescent="0.3">
      <c r="A259" t="s">
        <v>374</v>
      </c>
    </row>
    <row r="260" spans="1:8" x14ac:dyDescent="0.3">
      <c r="A260" t="s">
        <v>375</v>
      </c>
    </row>
    <row r="261" spans="1:8" x14ac:dyDescent="0.3">
      <c r="A261" t="s">
        <v>376</v>
      </c>
    </row>
    <row r="262" spans="1:8" x14ac:dyDescent="0.3">
      <c r="A262" t="s">
        <v>394</v>
      </c>
    </row>
    <row r="263" spans="1:8" x14ac:dyDescent="0.3">
      <c r="A263" t="s">
        <v>377</v>
      </c>
    </row>
    <row r="264" spans="1:8" x14ac:dyDescent="0.3">
      <c r="A264" t="s">
        <v>378</v>
      </c>
    </row>
    <row r="265" spans="1:8" x14ac:dyDescent="0.3">
      <c r="A265" t="s">
        <v>379</v>
      </c>
    </row>
    <row r="268" spans="1:8" x14ac:dyDescent="0.3">
      <c r="A268" s="32" t="s">
        <v>410</v>
      </c>
      <c r="B268" s="25"/>
      <c r="C268" s="25"/>
      <c r="D268" s="25"/>
      <c r="E268" s="25"/>
      <c r="F268" s="25"/>
      <c r="G268" s="32"/>
      <c r="H268" s="25"/>
    </row>
    <row r="270" spans="1:8" x14ac:dyDescent="0.3">
      <c r="A270" t="s">
        <v>411</v>
      </c>
    </row>
    <row r="271" spans="1:8" x14ac:dyDescent="0.3">
      <c r="A271" t="s">
        <v>97</v>
      </c>
    </row>
    <row r="272" spans="1:8" x14ac:dyDescent="0.3">
      <c r="A272" t="s">
        <v>431</v>
      </c>
    </row>
    <row r="273" spans="1:8" x14ac:dyDescent="0.3">
      <c r="A273" t="s">
        <v>432</v>
      </c>
    </row>
    <row r="274" spans="1:8" x14ac:dyDescent="0.3">
      <c r="A274" t="s">
        <v>447</v>
      </c>
    </row>
    <row r="275" spans="1:8" x14ac:dyDescent="0.3">
      <c r="A275" t="s">
        <v>412</v>
      </c>
    </row>
    <row r="276" spans="1:8" x14ac:dyDescent="0.3">
      <c r="A276" t="s">
        <v>413</v>
      </c>
    </row>
    <row r="277" spans="1:8" x14ac:dyDescent="0.3">
      <c r="A277" t="s">
        <v>414</v>
      </c>
    </row>
    <row r="278" spans="1:8" x14ac:dyDescent="0.3">
      <c r="A278" t="s">
        <v>415</v>
      </c>
    </row>
    <row r="279" spans="1:8" x14ac:dyDescent="0.3">
      <c r="A279" t="s">
        <v>105</v>
      </c>
    </row>
    <row r="280" spans="1:8" x14ac:dyDescent="0.3">
      <c r="A280" t="s">
        <v>416</v>
      </c>
    </row>
    <row r="281" spans="1:8" x14ac:dyDescent="0.3">
      <c r="A281" t="s">
        <v>97</v>
      </c>
    </row>
    <row r="282" spans="1:8" x14ac:dyDescent="0.3">
      <c r="A282" t="s">
        <v>433</v>
      </c>
    </row>
    <row r="283" spans="1:8" x14ac:dyDescent="0.3">
      <c r="A283" t="s">
        <v>434</v>
      </c>
    </row>
    <row r="284" spans="1:8" x14ac:dyDescent="0.3">
      <c r="A284" t="s">
        <v>435</v>
      </c>
    </row>
    <row r="285" spans="1:8" x14ac:dyDescent="0.3">
      <c r="A285" t="s">
        <v>436</v>
      </c>
    </row>
    <row r="286" spans="1:8" x14ac:dyDescent="0.3">
      <c r="A286" t="s">
        <v>437</v>
      </c>
      <c r="H286" t="s">
        <v>417</v>
      </c>
    </row>
    <row r="287" spans="1:8" x14ac:dyDescent="0.3">
      <c r="A287" t="s">
        <v>438</v>
      </c>
      <c r="H287" t="s">
        <v>418</v>
      </c>
    </row>
    <row r="288" spans="1:8" x14ac:dyDescent="0.3">
      <c r="A288" t="s">
        <v>439</v>
      </c>
      <c r="H288" t="s">
        <v>440</v>
      </c>
    </row>
    <row r="289" spans="1:1" x14ac:dyDescent="0.3">
      <c r="A289" t="s">
        <v>419</v>
      </c>
    </row>
    <row r="290" spans="1:1" x14ac:dyDescent="0.3">
      <c r="A290" t="s">
        <v>108</v>
      </c>
    </row>
    <row r="291" spans="1:1" x14ac:dyDescent="0.3">
      <c r="A291" t="s">
        <v>65</v>
      </c>
    </row>
    <row r="292" spans="1:1" x14ac:dyDescent="0.3">
      <c r="A292" t="s">
        <v>441</v>
      </c>
    </row>
    <row r="293" spans="1:1" x14ac:dyDescent="0.3">
      <c r="A293" t="s">
        <v>442</v>
      </c>
    </row>
    <row r="294" spans="1:1" x14ac:dyDescent="0.3">
      <c r="A294" t="s">
        <v>443</v>
      </c>
    </row>
    <row r="295" spans="1:1" x14ac:dyDescent="0.3">
      <c r="A295" t="s">
        <v>444</v>
      </c>
    </row>
    <row r="296" spans="1:1" x14ac:dyDescent="0.3">
      <c r="A296" t="s">
        <v>445</v>
      </c>
    </row>
    <row r="297" spans="1:1" x14ac:dyDescent="0.3">
      <c r="A297" t="s">
        <v>446</v>
      </c>
    </row>
    <row r="298" spans="1:1" x14ac:dyDescent="0.3">
      <c r="A298" t="s">
        <v>66</v>
      </c>
    </row>
    <row r="299" spans="1:1" x14ac:dyDescent="0.3">
      <c r="A299" t="s">
        <v>422</v>
      </c>
    </row>
    <row r="300" spans="1:1" x14ac:dyDescent="0.3">
      <c r="A300" t="s">
        <v>423</v>
      </c>
    </row>
    <row r="301" spans="1:1" x14ac:dyDescent="0.3">
      <c r="A301" t="s">
        <v>424</v>
      </c>
    </row>
    <row r="302" spans="1:1" x14ac:dyDescent="0.3">
      <c r="A302" t="s">
        <v>425</v>
      </c>
    </row>
    <row r="303" spans="1:1" x14ac:dyDescent="0.3">
      <c r="A303" t="s">
        <v>426</v>
      </c>
    </row>
    <row r="304" spans="1:1" x14ac:dyDescent="0.3">
      <c r="A304" t="s">
        <v>427</v>
      </c>
    </row>
    <row r="305" spans="1:5" x14ac:dyDescent="0.3">
      <c r="A305" t="s">
        <v>428</v>
      </c>
      <c r="B305" t="s">
        <v>429</v>
      </c>
    </row>
    <row r="306" spans="1:5" x14ac:dyDescent="0.3">
      <c r="A306" t="s">
        <v>430</v>
      </c>
    </row>
    <row r="309" spans="1:5" x14ac:dyDescent="0.3">
      <c r="A309" s="32" t="s">
        <v>457</v>
      </c>
      <c r="B309" s="25"/>
      <c r="C309" s="25"/>
      <c r="D309" s="25"/>
      <c r="E309" s="25"/>
    </row>
    <row r="311" spans="1:5" x14ac:dyDescent="0.3">
      <c r="A311" t="s">
        <v>458</v>
      </c>
    </row>
    <row r="313" spans="1:5" x14ac:dyDescent="0.3">
      <c r="A313" t="s">
        <v>459</v>
      </c>
    </row>
    <row r="314" spans="1:5" x14ac:dyDescent="0.3">
      <c r="A314" t="s">
        <v>97</v>
      </c>
    </row>
    <row r="315" spans="1:5" x14ac:dyDescent="0.3">
      <c r="A315" t="s">
        <v>332</v>
      </c>
    </row>
    <row r="316" spans="1:5" x14ac:dyDescent="0.3">
      <c r="A316" t="s">
        <v>463</v>
      </c>
    </row>
    <row r="317" spans="1:5" x14ac:dyDescent="0.3">
      <c r="A317" t="s">
        <v>464</v>
      </c>
    </row>
    <row r="318" spans="1:5" x14ac:dyDescent="0.3">
      <c r="A318" t="s">
        <v>465</v>
      </c>
    </row>
    <row r="319" spans="1:5" x14ac:dyDescent="0.3">
      <c r="A319" t="s">
        <v>221</v>
      </c>
    </row>
    <row r="320" spans="1:5" x14ac:dyDescent="0.3">
      <c r="A320" t="s">
        <v>108</v>
      </c>
    </row>
    <row r="321" spans="1:1" x14ac:dyDescent="0.3">
      <c r="A321" t="s">
        <v>65</v>
      </c>
    </row>
    <row r="322" spans="1:1" x14ac:dyDescent="0.3">
      <c r="A322" t="s">
        <v>466</v>
      </c>
    </row>
    <row r="323" spans="1:1" x14ac:dyDescent="0.3">
      <c r="A323" t="s">
        <v>467</v>
      </c>
    </row>
    <row r="324" spans="1:1" x14ac:dyDescent="0.3">
      <c r="A324" t="s">
        <v>468</v>
      </c>
    </row>
    <row r="325" spans="1:1" x14ac:dyDescent="0.3">
      <c r="A325" t="s">
        <v>469</v>
      </c>
    </row>
    <row r="326" spans="1:1" x14ac:dyDescent="0.3">
      <c r="A326" t="s">
        <v>470</v>
      </c>
    </row>
    <row r="327" spans="1:1" x14ac:dyDescent="0.3">
      <c r="A327" t="s">
        <v>460</v>
      </c>
    </row>
    <row r="328" spans="1:1" x14ac:dyDescent="0.3">
      <c r="A328" t="s">
        <v>461</v>
      </c>
    </row>
    <row r="329" spans="1:1" x14ac:dyDescent="0.3">
      <c r="A329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Requirements</vt:lpstr>
      <vt:lpstr>Basic analytics</vt:lpstr>
      <vt:lpstr>Advanced_analytics</vt:lpstr>
      <vt:lpstr>Basic_analystics_queries</vt:lpstr>
      <vt:lpstr>Advanced_analytics_queries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Arzoo Baloda</dc:creator>
  <cp:lastModifiedBy>Harsha Vardhan Kurugodu</cp:lastModifiedBy>
  <dcterms:created xsi:type="dcterms:W3CDTF">2015-06-05T18:17:20Z</dcterms:created>
  <dcterms:modified xsi:type="dcterms:W3CDTF">2026-08-09T17:07:30Z</dcterms:modified>
</cp:coreProperties>
</file>